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k\Desktop\FLU PAPER\Manuscript Text and Figures\Tables\"/>
    </mc:Choice>
  </mc:AlternateContent>
  <xr:revisionPtr revIDLastSave="0" documentId="8_{51DDCB87-470B-4FFD-B9B8-9BC5305559F9}" xr6:coauthVersionLast="47" xr6:coauthVersionMax="47" xr10:uidLastSave="{00000000-0000-0000-0000-000000000000}"/>
  <bookViews>
    <workbookView xWindow="768" yWindow="768" windowWidth="19008" windowHeight="10584" xr2:uid="{0EA37D5A-CB3A-48FC-93A4-F058F05772EC}"/>
  </bookViews>
  <sheets>
    <sheet name="Sample Key and summary" sheetId="1" r:id="rId1"/>
    <sheet name="Copy numbers 1-32" sheetId="2" r:id="rId2"/>
    <sheet name="Copy numbers 33-64" sheetId="3" r:id="rId3"/>
    <sheet name="Copy numbers 65-95" sheetId="4" r:id="rId4"/>
    <sheet name="Repeated qPCRs" sheetId="6" r:id="rId5"/>
  </sheets>
  <externalReferences>
    <externalReference r:id="rId6"/>
    <externalReference r:id="rId7"/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6" i="1" l="1"/>
  <c r="N57" i="1"/>
  <c r="N54" i="1"/>
  <c r="N52" i="1"/>
  <c r="N51" i="1"/>
  <c r="N50" i="1"/>
  <c r="N49" i="1"/>
  <c r="N48" i="1"/>
  <c r="N46" i="1"/>
  <c r="N45" i="1"/>
  <c r="N40" i="1"/>
  <c r="N38" i="1"/>
  <c r="N37" i="1"/>
  <c r="N36" i="1"/>
  <c r="N34" i="1"/>
  <c r="F123" i="6" l="1"/>
  <c r="G123" i="6" s="1"/>
  <c r="H123" i="6" s="1"/>
  <c r="I123" i="6" s="1"/>
  <c r="F122" i="6"/>
  <c r="G122" i="6" s="1"/>
  <c r="H122" i="6" s="1"/>
  <c r="I122" i="6" s="1"/>
  <c r="F121" i="6"/>
  <c r="G121" i="6" s="1"/>
  <c r="H121" i="6" s="1"/>
  <c r="I121" i="6" s="1"/>
  <c r="F120" i="6"/>
  <c r="G120" i="6" s="1"/>
  <c r="H120" i="6" s="1"/>
  <c r="I120" i="6" s="1"/>
  <c r="F119" i="6"/>
  <c r="G119" i="6" s="1"/>
  <c r="H119" i="6" s="1"/>
  <c r="I119" i="6" s="1"/>
  <c r="F118" i="6"/>
  <c r="G118" i="6" s="1"/>
  <c r="H118" i="6" s="1"/>
  <c r="I118" i="6" s="1"/>
  <c r="F117" i="6"/>
  <c r="G117" i="6" s="1"/>
  <c r="H117" i="6" s="1"/>
  <c r="I117" i="6" s="1"/>
  <c r="F116" i="6"/>
  <c r="G116" i="6" s="1"/>
  <c r="H116" i="6" s="1"/>
  <c r="I116" i="6" s="1"/>
  <c r="F115" i="6"/>
  <c r="G115" i="6" s="1"/>
  <c r="H115" i="6" s="1"/>
  <c r="I115" i="6" s="1"/>
  <c r="F114" i="6"/>
  <c r="G114" i="6" s="1"/>
  <c r="H114" i="6" s="1"/>
  <c r="I114" i="6" s="1"/>
  <c r="F111" i="6"/>
  <c r="G111" i="6" s="1"/>
  <c r="H111" i="6" s="1"/>
  <c r="I111" i="6" s="1"/>
  <c r="F110" i="6"/>
  <c r="G110" i="6" s="1"/>
  <c r="H110" i="6" s="1"/>
  <c r="I110" i="6" s="1"/>
  <c r="F109" i="6"/>
  <c r="G109" i="6" s="1"/>
  <c r="H109" i="6" s="1"/>
  <c r="I109" i="6" s="1"/>
  <c r="F108" i="6"/>
  <c r="G108" i="6" s="1"/>
  <c r="H108" i="6" s="1"/>
  <c r="I108" i="6" s="1"/>
  <c r="F107" i="6"/>
  <c r="G107" i="6" s="1"/>
  <c r="H107" i="6" s="1"/>
  <c r="I107" i="6" s="1"/>
  <c r="F106" i="6"/>
  <c r="G106" i="6" s="1"/>
  <c r="H106" i="6" s="1"/>
  <c r="I106" i="6" s="1"/>
  <c r="F105" i="6"/>
  <c r="G105" i="6" s="1"/>
  <c r="H105" i="6" s="1"/>
  <c r="I105" i="6" s="1"/>
  <c r="F104" i="6"/>
  <c r="G104" i="6" s="1"/>
  <c r="H104" i="6" s="1"/>
  <c r="I104" i="6" s="1"/>
  <c r="F103" i="6"/>
  <c r="G103" i="6" s="1"/>
  <c r="H103" i="6" s="1"/>
  <c r="I103" i="6" s="1"/>
  <c r="F102" i="6"/>
  <c r="G102" i="6" s="1"/>
  <c r="H102" i="6" s="1"/>
  <c r="I102" i="6" s="1"/>
  <c r="F101" i="6"/>
  <c r="G101" i="6" s="1"/>
  <c r="H101" i="6" s="1"/>
  <c r="H100" i="6"/>
  <c r="G100" i="6"/>
  <c r="F100" i="6"/>
  <c r="F99" i="6"/>
  <c r="G99" i="6" s="1"/>
  <c r="H99" i="6" s="1"/>
  <c r="I99" i="6" s="1"/>
  <c r="F98" i="6"/>
  <c r="G98" i="6" s="1"/>
  <c r="H98" i="6" s="1"/>
  <c r="I98" i="6" s="1"/>
  <c r="F97" i="6"/>
  <c r="G97" i="6" s="1"/>
  <c r="H97" i="6" s="1"/>
  <c r="I97" i="6" s="1"/>
  <c r="H96" i="6"/>
  <c r="I96" i="6" s="1"/>
  <c r="G96" i="6"/>
  <c r="F96" i="6"/>
  <c r="F95" i="6"/>
  <c r="G95" i="6" s="1"/>
  <c r="H95" i="6" s="1"/>
  <c r="I95" i="6" s="1"/>
  <c r="F94" i="6"/>
  <c r="G94" i="6" s="1"/>
  <c r="H94" i="6" s="1"/>
  <c r="I94" i="6" s="1"/>
  <c r="F93" i="6"/>
  <c r="G93" i="6" s="1"/>
  <c r="H93" i="6" s="1"/>
  <c r="I93" i="6" s="1"/>
  <c r="H92" i="6"/>
  <c r="I92" i="6" s="1"/>
  <c r="G92" i="6"/>
  <c r="F92" i="6"/>
  <c r="F91" i="6"/>
  <c r="G91" i="6" s="1"/>
  <c r="H91" i="6" s="1"/>
  <c r="I91" i="6" s="1"/>
  <c r="F90" i="6"/>
  <c r="G90" i="6" s="1"/>
  <c r="H90" i="6" s="1"/>
  <c r="I90" i="6" s="1"/>
  <c r="G89" i="6"/>
  <c r="H89" i="6" s="1"/>
  <c r="F89" i="6"/>
  <c r="F88" i="6"/>
  <c r="G88" i="6" s="1"/>
  <c r="H88" i="6" s="1"/>
  <c r="F87" i="6"/>
  <c r="G87" i="6" s="1"/>
  <c r="H87" i="6" s="1"/>
  <c r="I87" i="6" s="1"/>
  <c r="F86" i="6"/>
  <c r="G86" i="6" s="1"/>
  <c r="H86" i="6" s="1"/>
  <c r="I86" i="6" s="1"/>
  <c r="F85" i="6"/>
  <c r="G85" i="6" s="1"/>
  <c r="H85" i="6" s="1"/>
  <c r="I85" i="6" s="1"/>
  <c r="F84" i="6"/>
  <c r="G84" i="6" s="1"/>
  <c r="H84" i="6" s="1"/>
  <c r="I84" i="6" s="1"/>
  <c r="F83" i="6"/>
  <c r="G83" i="6" s="1"/>
  <c r="H83" i="6" s="1"/>
  <c r="I83" i="6" s="1"/>
  <c r="F82" i="6"/>
  <c r="G82" i="6" s="1"/>
  <c r="H82" i="6" s="1"/>
  <c r="I82" i="6" s="1"/>
  <c r="F81" i="6"/>
  <c r="G81" i="6" s="1"/>
  <c r="H81" i="6" s="1"/>
  <c r="I81" i="6" s="1"/>
  <c r="F80" i="6"/>
  <c r="G80" i="6" s="1"/>
  <c r="H80" i="6" s="1"/>
  <c r="I80" i="6" s="1"/>
  <c r="F79" i="6"/>
  <c r="G79" i="6" s="1"/>
  <c r="H79" i="6" s="1"/>
  <c r="I79" i="6" s="1"/>
  <c r="F78" i="6"/>
  <c r="G78" i="6" s="1"/>
  <c r="H78" i="6" s="1"/>
  <c r="I78" i="6" s="1"/>
  <c r="G77" i="6"/>
  <c r="H77" i="6" s="1"/>
  <c r="F77" i="6"/>
  <c r="F76" i="6"/>
  <c r="G76" i="6" s="1"/>
  <c r="H76" i="6" s="1"/>
  <c r="H75" i="6"/>
  <c r="I75" i="6" s="1"/>
  <c r="G75" i="6"/>
  <c r="F75" i="6"/>
  <c r="F74" i="6"/>
  <c r="G74" i="6" s="1"/>
  <c r="H74" i="6" s="1"/>
  <c r="I74" i="6" s="1"/>
  <c r="F73" i="6"/>
  <c r="G73" i="6" s="1"/>
  <c r="H73" i="6" s="1"/>
  <c r="I73" i="6" s="1"/>
  <c r="F72" i="6"/>
  <c r="G72" i="6" s="1"/>
  <c r="H72" i="6" s="1"/>
  <c r="I72" i="6" s="1"/>
  <c r="H71" i="6"/>
  <c r="I71" i="6" s="1"/>
  <c r="G71" i="6"/>
  <c r="F71" i="6"/>
  <c r="F70" i="6"/>
  <c r="G70" i="6" s="1"/>
  <c r="H70" i="6" s="1"/>
  <c r="I70" i="6" s="1"/>
  <c r="F69" i="6"/>
  <c r="G69" i="6" s="1"/>
  <c r="H69" i="6" s="1"/>
  <c r="I69" i="6" s="1"/>
  <c r="F68" i="6"/>
  <c r="G68" i="6" s="1"/>
  <c r="H68" i="6" s="1"/>
  <c r="I68" i="6" s="1"/>
  <c r="H67" i="6"/>
  <c r="I67" i="6" s="1"/>
  <c r="G67" i="6"/>
  <c r="F67" i="6"/>
  <c r="F66" i="6"/>
  <c r="G66" i="6" s="1"/>
  <c r="H66" i="6" s="1"/>
  <c r="I66" i="6" s="1"/>
  <c r="F65" i="6"/>
  <c r="G65" i="6" s="1"/>
  <c r="H65" i="6" s="1"/>
  <c r="F64" i="6"/>
  <c r="G64" i="6" s="1"/>
  <c r="H64" i="6" s="1"/>
  <c r="F63" i="6"/>
  <c r="G63" i="6" s="1"/>
  <c r="H63" i="6" s="1"/>
  <c r="I63" i="6" s="1"/>
  <c r="F62" i="6"/>
  <c r="G62" i="6" s="1"/>
  <c r="H62" i="6" s="1"/>
  <c r="I62" i="6" s="1"/>
  <c r="F61" i="6"/>
  <c r="G61" i="6" s="1"/>
  <c r="H61" i="6" s="1"/>
  <c r="I61" i="6" s="1"/>
  <c r="F60" i="6"/>
  <c r="G60" i="6" s="1"/>
  <c r="H60" i="6" s="1"/>
  <c r="I60" i="6" s="1"/>
  <c r="F59" i="6"/>
  <c r="G59" i="6" s="1"/>
  <c r="H59" i="6" s="1"/>
  <c r="I59" i="6" s="1"/>
  <c r="F58" i="6"/>
  <c r="G58" i="6" s="1"/>
  <c r="H58" i="6" s="1"/>
  <c r="I58" i="6" s="1"/>
  <c r="F57" i="6"/>
  <c r="G57" i="6" s="1"/>
  <c r="H57" i="6" s="1"/>
  <c r="I57" i="6" s="1"/>
  <c r="F56" i="6"/>
  <c r="G56" i="6" s="1"/>
  <c r="H56" i="6" s="1"/>
  <c r="I56" i="6" s="1"/>
  <c r="F55" i="6"/>
  <c r="G55" i="6" s="1"/>
  <c r="H55" i="6" s="1"/>
  <c r="I55" i="6" s="1"/>
  <c r="F54" i="6"/>
  <c r="G54" i="6" s="1"/>
  <c r="H54" i="6" s="1"/>
  <c r="I54" i="6" s="1"/>
  <c r="F53" i="6"/>
  <c r="G53" i="6" s="1"/>
  <c r="H53" i="6" s="1"/>
  <c r="F52" i="6"/>
  <c r="G52" i="6" s="1"/>
  <c r="H52" i="6" s="1"/>
  <c r="F51" i="6"/>
  <c r="G51" i="6" s="1"/>
  <c r="H51" i="6" s="1"/>
  <c r="I51" i="6" s="1"/>
  <c r="H50" i="6"/>
  <c r="I50" i="6" s="1"/>
  <c r="G50" i="6"/>
  <c r="F50" i="6"/>
  <c r="F49" i="6"/>
  <c r="G49" i="6" s="1"/>
  <c r="H49" i="6" s="1"/>
  <c r="I49" i="6" s="1"/>
  <c r="F48" i="6"/>
  <c r="G48" i="6" s="1"/>
  <c r="H48" i="6" s="1"/>
  <c r="I48" i="6" s="1"/>
  <c r="F47" i="6"/>
  <c r="G47" i="6" s="1"/>
  <c r="H47" i="6" s="1"/>
  <c r="I47" i="6" s="1"/>
  <c r="H46" i="6"/>
  <c r="I46" i="6" s="1"/>
  <c r="G46" i="6"/>
  <c r="F46" i="6"/>
  <c r="F45" i="6"/>
  <c r="G45" i="6" s="1"/>
  <c r="H45" i="6" s="1"/>
  <c r="I45" i="6" s="1"/>
  <c r="F44" i="6"/>
  <c r="G44" i="6" s="1"/>
  <c r="H44" i="6" s="1"/>
  <c r="I44" i="6" s="1"/>
  <c r="F43" i="6"/>
  <c r="G43" i="6" s="1"/>
  <c r="H43" i="6" s="1"/>
  <c r="I43" i="6" s="1"/>
  <c r="H42" i="6"/>
  <c r="I42" i="6" s="1"/>
  <c r="G42" i="6"/>
  <c r="F42" i="6"/>
  <c r="F41" i="6"/>
  <c r="G41" i="6" s="1"/>
  <c r="H41" i="6" s="1"/>
  <c r="F40" i="6"/>
  <c r="G40" i="6" s="1"/>
  <c r="H40" i="6" s="1"/>
  <c r="F39" i="6"/>
  <c r="G39" i="6" s="1"/>
  <c r="H39" i="6" s="1"/>
  <c r="I39" i="6" s="1"/>
  <c r="F38" i="6"/>
  <c r="G38" i="6" s="1"/>
  <c r="H38" i="6" s="1"/>
  <c r="I38" i="6" s="1"/>
  <c r="F37" i="6"/>
  <c r="G37" i="6" s="1"/>
  <c r="H37" i="6" s="1"/>
  <c r="I37" i="6" s="1"/>
  <c r="F36" i="6"/>
  <c r="G36" i="6" s="1"/>
  <c r="H36" i="6" s="1"/>
  <c r="I36" i="6" s="1"/>
  <c r="F35" i="6"/>
  <c r="G35" i="6" s="1"/>
  <c r="H35" i="6" s="1"/>
  <c r="I35" i="6" s="1"/>
  <c r="F34" i="6"/>
  <c r="G34" i="6" s="1"/>
  <c r="H34" i="6" s="1"/>
  <c r="I34" i="6" s="1"/>
  <c r="F33" i="6"/>
  <c r="G33" i="6" s="1"/>
  <c r="H33" i="6" s="1"/>
  <c r="I33" i="6" s="1"/>
  <c r="F32" i="6"/>
  <c r="G32" i="6" s="1"/>
  <c r="H32" i="6" s="1"/>
  <c r="I32" i="6" s="1"/>
  <c r="F31" i="6"/>
  <c r="G31" i="6" s="1"/>
  <c r="H31" i="6" s="1"/>
  <c r="I31" i="6" s="1"/>
  <c r="F30" i="6"/>
  <c r="G30" i="6" s="1"/>
  <c r="H30" i="6" s="1"/>
  <c r="I30" i="6" s="1"/>
  <c r="H29" i="6"/>
  <c r="G29" i="6"/>
  <c r="F29" i="6"/>
  <c r="F28" i="6"/>
  <c r="G28" i="6" s="1"/>
  <c r="H28" i="6" s="1"/>
  <c r="C8" i="6"/>
  <c r="D8" i="6" s="1"/>
  <c r="C7" i="6"/>
  <c r="D7" i="6" s="1"/>
  <c r="C6" i="6"/>
  <c r="D6" i="6" s="1"/>
  <c r="C5" i="6"/>
  <c r="D5" i="6" s="1"/>
  <c r="C4" i="6"/>
  <c r="D4" i="6" s="1"/>
  <c r="C3" i="6"/>
  <c r="D3" i="6" s="1"/>
  <c r="D2" i="6"/>
  <c r="C2" i="6"/>
  <c r="F116" i="4" l="1"/>
  <c r="G116" i="4" s="1"/>
  <c r="H116" i="4" s="1"/>
  <c r="I116" i="4" s="1"/>
  <c r="F115" i="4"/>
  <c r="G115" i="4" s="1"/>
  <c r="H115" i="4" s="1"/>
  <c r="I115" i="4" s="1"/>
  <c r="F114" i="4"/>
  <c r="G114" i="4" s="1"/>
  <c r="H114" i="4" s="1"/>
  <c r="I114" i="4" s="1"/>
  <c r="G113" i="4"/>
  <c r="H113" i="4" s="1"/>
  <c r="I113" i="4" s="1"/>
  <c r="F113" i="4"/>
  <c r="F112" i="4"/>
  <c r="G112" i="4" s="1"/>
  <c r="H112" i="4" s="1"/>
  <c r="I112" i="4" s="1"/>
  <c r="F111" i="4"/>
  <c r="G111" i="4" s="1"/>
  <c r="H111" i="4" s="1"/>
  <c r="I111" i="4" s="1"/>
  <c r="F110" i="4"/>
  <c r="G110" i="4" s="1"/>
  <c r="H110" i="4" s="1"/>
  <c r="I110" i="4" s="1"/>
  <c r="G109" i="4"/>
  <c r="H109" i="4" s="1"/>
  <c r="I109" i="4" s="1"/>
  <c r="F109" i="4"/>
  <c r="F108" i="4"/>
  <c r="G108" i="4" s="1"/>
  <c r="H108" i="4" s="1"/>
  <c r="I108" i="4" s="1"/>
  <c r="F107" i="4"/>
  <c r="G107" i="4" s="1"/>
  <c r="H107" i="4" s="1"/>
  <c r="I107" i="4" s="1"/>
  <c r="F106" i="4"/>
  <c r="G106" i="4" s="1"/>
  <c r="H106" i="4" s="1"/>
  <c r="I106" i="4" s="1"/>
  <c r="G105" i="4"/>
  <c r="H105" i="4" s="1"/>
  <c r="I105" i="4" s="1"/>
  <c r="F105" i="4"/>
  <c r="F104" i="4"/>
  <c r="G104" i="4" s="1"/>
  <c r="H104" i="4" s="1"/>
  <c r="I104" i="4" s="1"/>
  <c r="F103" i="4"/>
  <c r="G103" i="4" s="1"/>
  <c r="H103" i="4" s="1"/>
  <c r="I103" i="4" s="1"/>
  <c r="F102" i="4"/>
  <c r="G102" i="4" s="1"/>
  <c r="H102" i="4" s="1"/>
  <c r="I102" i="4" s="1"/>
  <c r="G101" i="4"/>
  <c r="H101" i="4" s="1"/>
  <c r="I101" i="4" s="1"/>
  <c r="F101" i="4"/>
  <c r="F100" i="4"/>
  <c r="G100" i="4" s="1"/>
  <c r="H100" i="4" s="1"/>
  <c r="I100" i="4" s="1"/>
  <c r="F99" i="4"/>
  <c r="G99" i="4" s="1"/>
  <c r="H99" i="4" s="1"/>
  <c r="I99" i="4" s="1"/>
  <c r="F98" i="4"/>
  <c r="G98" i="4" s="1"/>
  <c r="H98" i="4" s="1"/>
  <c r="I98" i="4" s="1"/>
  <c r="G97" i="4"/>
  <c r="H97" i="4" s="1"/>
  <c r="I97" i="4" s="1"/>
  <c r="F97" i="4"/>
  <c r="F96" i="4"/>
  <c r="G96" i="4" s="1"/>
  <c r="H96" i="4" s="1"/>
  <c r="I96" i="4" s="1"/>
  <c r="F95" i="4"/>
  <c r="G95" i="4" s="1"/>
  <c r="H95" i="4" s="1"/>
  <c r="F94" i="4"/>
  <c r="G94" i="4" s="1"/>
  <c r="H94" i="4" s="1"/>
  <c r="F93" i="4"/>
  <c r="G93" i="4" s="1"/>
  <c r="H93" i="4" s="1"/>
  <c r="H92" i="4"/>
  <c r="I92" i="4" s="1"/>
  <c r="G92" i="4"/>
  <c r="F92" i="4"/>
  <c r="G91" i="4"/>
  <c r="H91" i="4" s="1"/>
  <c r="I91" i="4" s="1"/>
  <c r="F91" i="4"/>
  <c r="G90" i="4"/>
  <c r="H90" i="4" s="1"/>
  <c r="I90" i="4" s="1"/>
  <c r="F90" i="4"/>
  <c r="F89" i="4"/>
  <c r="G89" i="4" s="1"/>
  <c r="H89" i="4" s="1"/>
  <c r="I89" i="4" s="1"/>
  <c r="H88" i="4"/>
  <c r="I88" i="4" s="1"/>
  <c r="G88" i="4"/>
  <c r="F88" i="4"/>
  <c r="G87" i="4"/>
  <c r="H87" i="4" s="1"/>
  <c r="I87" i="4" s="1"/>
  <c r="F87" i="4"/>
  <c r="G86" i="4"/>
  <c r="H86" i="4" s="1"/>
  <c r="I86" i="4" s="1"/>
  <c r="F86" i="4"/>
  <c r="F85" i="4"/>
  <c r="G85" i="4" s="1"/>
  <c r="H85" i="4" s="1"/>
  <c r="I85" i="4" s="1"/>
  <c r="H84" i="4"/>
  <c r="I84" i="4" s="1"/>
  <c r="G84" i="4"/>
  <c r="F84" i="4"/>
  <c r="F83" i="4"/>
  <c r="G83" i="4" s="1"/>
  <c r="H83" i="4" s="1"/>
  <c r="F82" i="4"/>
  <c r="G82" i="4" s="1"/>
  <c r="H82" i="4" s="1"/>
  <c r="F81" i="4"/>
  <c r="G81" i="4" s="1"/>
  <c r="H81" i="4" s="1"/>
  <c r="F80" i="4"/>
  <c r="G80" i="4" s="1"/>
  <c r="H80" i="4" s="1"/>
  <c r="I80" i="4" s="1"/>
  <c r="I79" i="4"/>
  <c r="H79" i="4"/>
  <c r="G79" i="4"/>
  <c r="F79" i="4"/>
  <c r="H78" i="4"/>
  <c r="I78" i="4" s="1"/>
  <c r="G78" i="4"/>
  <c r="F78" i="4"/>
  <c r="F77" i="4"/>
  <c r="G77" i="4" s="1"/>
  <c r="H77" i="4" s="1"/>
  <c r="I77" i="4" s="1"/>
  <c r="F76" i="4"/>
  <c r="G76" i="4" s="1"/>
  <c r="H76" i="4" s="1"/>
  <c r="I76" i="4" s="1"/>
  <c r="I75" i="4"/>
  <c r="H75" i="4"/>
  <c r="G75" i="4"/>
  <c r="F75" i="4"/>
  <c r="H74" i="4"/>
  <c r="I74" i="4" s="1"/>
  <c r="G74" i="4"/>
  <c r="F74" i="4"/>
  <c r="F73" i="4"/>
  <c r="G73" i="4" s="1"/>
  <c r="H73" i="4" s="1"/>
  <c r="I73" i="4" s="1"/>
  <c r="F72" i="4"/>
  <c r="G72" i="4" s="1"/>
  <c r="H72" i="4" s="1"/>
  <c r="I72" i="4" s="1"/>
  <c r="H71" i="4"/>
  <c r="G71" i="4"/>
  <c r="F71" i="4"/>
  <c r="F70" i="4"/>
  <c r="G70" i="4" s="1"/>
  <c r="H70" i="4" s="1"/>
  <c r="F69" i="4"/>
  <c r="G69" i="4" s="1"/>
  <c r="H69" i="4" s="1"/>
  <c r="F68" i="4"/>
  <c r="G68" i="4" s="1"/>
  <c r="H68" i="4" s="1"/>
  <c r="I68" i="4" s="1"/>
  <c r="F67" i="4"/>
  <c r="G67" i="4" s="1"/>
  <c r="H67" i="4" s="1"/>
  <c r="I67" i="4" s="1"/>
  <c r="F66" i="4"/>
  <c r="G66" i="4" s="1"/>
  <c r="H66" i="4" s="1"/>
  <c r="I66" i="4" s="1"/>
  <c r="F65" i="4"/>
  <c r="G65" i="4" s="1"/>
  <c r="H65" i="4" s="1"/>
  <c r="I65" i="4" s="1"/>
  <c r="F64" i="4"/>
  <c r="G64" i="4" s="1"/>
  <c r="H64" i="4" s="1"/>
  <c r="I64" i="4" s="1"/>
  <c r="F63" i="4"/>
  <c r="G63" i="4" s="1"/>
  <c r="H63" i="4" s="1"/>
  <c r="I63" i="4" s="1"/>
  <c r="F62" i="4"/>
  <c r="G62" i="4" s="1"/>
  <c r="H62" i="4" s="1"/>
  <c r="I62" i="4" s="1"/>
  <c r="F61" i="4"/>
  <c r="G61" i="4" s="1"/>
  <c r="H61" i="4" s="1"/>
  <c r="I61" i="4" s="1"/>
  <c r="F60" i="4"/>
  <c r="G60" i="4" s="1"/>
  <c r="H60" i="4" s="1"/>
  <c r="I60" i="4" s="1"/>
  <c r="F59" i="4"/>
  <c r="G59" i="4" s="1"/>
  <c r="H59" i="4" s="1"/>
  <c r="H58" i="4"/>
  <c r="G58" i="4"/>
  <c r="F58" i="4"/>
  <c r="F57" i="4"/>
  <c r="G57" i="4" s="1"/>
  <c r="H57" i="4" s="1"/>
  <c r="F56" i="4"/>
  <c r="G56" i="4" s="1"/>
  <c r="H56" i="4" s="1"/>
  <c r="I56" i="4" s="1"/>
  <c r="F55" i="4"/>
  <c r="G55" i="4" s="1"/>
  <c r="H55" i="4" s="1"/>
  <c r="I55" i="4" s="1"/>
  <c r="G54" i="4"/>
  <c r="H54" i="4" s="1"/>
  <c r="I54" i="4" s="1"/>
  <c r="F54" i="4"/>
  <c r="F53" i="4"/>
  <c r="G53" i="4" s="1"/>
  <c r="H53" i="4" s="1"/>
  <c r="I53" i="4" s="1"/>
  <c r="F52" i="4"/>
  <c r="G52" i="4" s="1"/>
  <c r="H52" i="4" s="1"/>
  <c r="I52" i="4" s="1"/>
  <c r="F51" i="4"/>
  <c r="G51" i="4" s="1"/>
  <c r="H51" i="4" s="1"/>
  <c r="I51" i="4" s="1"/>
  <c r="G50" i="4"/>
  <c r="H50" i="4" s="1"/>
  <c r="I50" i="4" s="1"/>
  <c r="F50" i="4"/>
  <c r="F49" i="4"/>
  <c r="G49" i="4" s="1"/>
  <c r="H49" i="4" s="1"/>
  <c r="I49" i="4" s="1"/>
  <c r="F48" i="4"/>
  <c r="G48" i="4" s="1"/>
  <c r="H48" i="4" s="1"/>
  <c r="I48" i="4" s="1"/>
  <c r="F47" i="4"/>
  <c r="G47" i="4" s="1"/>
  <c r="H47" i="4" s="1"/>
  <c r="F46" i="4"/>
  <c r="G46" i="4" s="1"/>
  <c r="H46" i="4" s="1"/>
  <c r="H45" i="4"/>
  <c r="G45" i="4"/>
  <c r="F45" i="4"/>
  <c r="G44" i="4"/>
  <c r="H44" i="4" s="1"/>
  <c r="I44" i="4" s="1"/>
  <c r="F44" i="4"/>
  <c r="G43" i="4"/>
  <c r="H43" i="4" s="1"/>
  <c r="I43" i="4" s="1"/>
  <c r="F43" i="4"/>
  <c r="F42" i="4"/>
  <c r="G42" i="4" s="1"/>
  <c r="H42" i="4" s="1"/>
  <c r="I42" i="4" s="1"/>
  <c r="H41" i="4"/>
  <c r="I41" i="4" s="1"/>
  <c r="G41" i="4"/>
  <c r="F41" i="4"/>
  <c r="G40" i="4"/>
  <c r="H40" i="4" s="1"/>
  <c r="I40" i="4" s="1"/>
  <c r="F40" i="4"/>
  <c r="G39" i="4"/>
  <c r="H39" i="4" s="1"/>
  <c r="I39" i="4" s="1"/>
  <c r="F39" i="4"/>
  <c r="F38" i="4"/>
  <c r="G38" i="4" s="1"/>
  <c r="H38" i="4" s="1"/>
  <c r="I38" i="4" s="1"/>
  <c r="H37" i="4"/>
  <c r="I37" i="4" s="1"/>
  <c r="G37" i="4"/>
  <c r="F37" i="4"/>
  <c r="G36" i="4"/>
  <c r="H36" i="4" s="1"/>
  <c r="I36" i="4" s="1"/>
  <c r="F36" i="4"/>
  <c r="F35" i="4"/>
  <c r="G35" i="4" s="1"/>
  <c r="H35" i="4" s="1"/>
  <c r="F34" i="4"/>
  <c r="G34" i="4" s="1"/>
  <c r="H34" i="4" s="1"/>
  <c r="F33" i="4"/>
  <c r="G33" i="4" s="1"/>
  <c r="H33" i="4" s="1"/>
  <c r="I32" i="4"/>
  <c r="H32" i="4"/>
  <c r="G32" i="4"/>
  <c r="F32" i="4"/>
  <c r="H31" i="4"/>
  <c r="I31" i="4" s="1"/>
  <c r="G31" i="4"/>
  <c r="F31" i="4"/>
  <c r="F30" i="4"/>
  <c r="G30" i="4" s="1"/>
  <c r="H30" i="4" s="1"/>
  <c r="I30" i="4" s="1"/>
  <c r="F29" i="4"/>
  <c r="G29" i="4" s="1"/>
  <c r="H29" i="4" s="1"/>
  <c r="I29" i="4" s="1"/>
  <c r="I28" i="4"/>
  <c r="H28" i="4"/>
  <c r="G28" i="4"/>
  <c r="F28" i="4"/>
  <c r="H27" i="4"/>
  <c r="I27" i="4" s="1"/>
  <c r="G27" i="4"/>
  <c r="F27" i="4"/>
  <c r="F26" i="4"/>
  <c r="G26" i="4" s="1"/>
  <c r="H26" i="4" s="1"/>
  <c r="I26" i="4" s="1"/>
  <c r="F25" i="4"/>
  <c r="G25" i="4" s="1"/>
  <c r="H25" i="4" s="1"/>
  <c r="I25" i="4" s="1"/>
  <c r="I24" i="4"/>
  <c r="H24" i="4"/>
  <c r="G24" i="4"/>
  <c r="F24" i="4"/>
  <c r="G23" i="4"/>
  <c r="H23" i="4" s="1"/>
  <c r="F23" i="4"/>
  <c r="F22" i="4"/>
  <c r="G22" i="4" s="1"/>
  <c r="H22" i="4" s="1"/>
  <c r="F21" i="4"/>
  <c r="G21" i="4" s="1"/>
  <c r="H21" i="4" s="1"/>
  <c r="C8" i="4"/>
  <c r="D8" i="4" s="1"/>
  <c r="C7" i="4"/>
  <c r="D7" i="4" s="1"/>
  <c r="D6" i="4"/>
  <c r="C6" i="4"/>
  <c r="D5" i="4"/>
  <c r="C5" i="4"/>
  <c r="D4" i="4"/>
  <c r="C4" i="4"/>
  <c r="C3" i="4"/>
  <c r="D3" i="4" s="1"/>
  <c r="D2" i="4"/>
  <c r="C2" i="4"/>
  <c r="K118" i="3"/>
  <c r="L118" i="3" s="1"/>
  <c r="M118" i="3" s="1"/>
  <c r="F118" i="3"/>
  <c r="G118" i="3" s="1"/>
  <c r="H118" i="3" s="1"/>
  <c r="K117" i="3"/>
  <c r="L117" i="3" s="1"/>
  <c r="M117" i="3" s="1"/>
  <c r="F117" i="3"/>
  <c r="G117" i="3" s="1"/>
  <c r="H117" i="3" s="1"/>
  <c r="K116" i="3"/>
  <c r="L116" i="3" s="1"/>
  <c r="M116" i="3" s="1"/>
  <c r="F116" i="3"/>
  <c r="G116" i="3" s="1"/>
  <c r="H116" i="3" s="1"/>
  <c r="K115" i="3"/>
  <c r="L115" i="3" s="1"/>
  <c r="M115" i="3" s="1"/>
  <c r="H115" i="3"/>
  <c r="G115" i="3"/>
  <c r="F115" i="3"/>
  <c r="K114" i="3"/>
  <c r="L114" i="3" s="1"/>
  <c r="M114" i="3" s="1"/>
  <c r="F114" i="3"/>
  <c r="G114" i="3" s="1"/>
  <c r="H114" i="3" s="1"/>
  <c r="M113" i="3"/>
  <c r="L113" i="3"/>
  <c r="K113" i="3"/>
  <c r="G113" i="3"/>
  <c r="H113" i="3" s="1"/>
  <c r="F113" i="3"/>
  <c r="L112" i="3"/>
  <c r="M112" i="3" s="1"/>
  <c r="K112" i="3"/>
  <c r="F112" i="3"/>
  <c r="G112" i="3" s="1"/>
  <c r="H112" i="3" s="1"/>
  <c r="K111" i="3"/>
  <c r="L111" i="3" s="1"/>
  <c r="M111" i="3" s="1"/>
  <c r="G111" i="3"/>
  <c r="H111" i="3" s="1"/>
  <c r="F111" i="3"/>
  <c r="K110" i="3"/>
  <c r="L110" i="3" s="1"/>
  <c r="M110" i="3" s="1"/>
  <c r="F110" i="3"/>
  <c r="G110" i="3" s="1"/>
  <c r="H110" i="3" s="1"/>
  <c r="K109" i="3"/>
  <c r="L109" i="3" s="1"/>
  <c r="M109" i="3" s="1"/>
  <c r="F109" i="3"/>
  <c r="G109" i="3" s="1"/>
  <c r="H109" i="3" s="1"/>
  <c r="K108" i="3"/>
  <c r="L108" i="3" s="1"/>
  <c r="M108" i="3" s="1"/>
  <c r="F108" i="3"/>
  <c r="G108" i="3" s="1"/>
  <c r="H108" i="3" s="1"/>
  <c r="K107" i="3"/>
  <c r="L107" i="3" s="1"/>
  <c r="M107" i="3" s="1"/>
  <c r="F107" i="3"/>
  <c r="G107" i="3" s="1"/>
  <c r="H107" i="3" s="1"/>
  <c r="K106" i="3"/>
  <c r="L106" i="3" s="1"/>
  <c r="M106" i="3" s="1"/>
  <c r="F106" i="3"/>
  <c r="G106" i="3" s="1"/>
  <c r="H106" i="3" s="1"/>
  <c r="M105" i="3"/>
  <c r="L105" i="3"/>
  <c r="K105" i="3"/>
  <c r="G105" i="3"/>
  <c r="H105" i="3" s="1"/>
  <c r="F105" i="3"/>
  <c r="L104" i="3"/>
  <c r="M104" i="3" s="1"/>
  <c r="K104" i="3"/>
  <c r="G104" i="3"/>
  <c r="H104" i="3" s="1"/>
  <c r="F104" i="3"/>
  <c r="L103" i="3"/>
  <c r="M103" i="3" s="1"/>
  <c r="K103" i="3"/>
  <c r="G103" i="3"/>
  <c r="H103" i="3" s="1"/>
  <c r="F103" i="3"/>
  <c r="K102" i="3"/>
  <c r="L102" i="3" s="1"/>
  <c r="M102" i="3" s="1"/>
  <c r="F102" i="3"/>
  <c r="G102" i="3" s="1"/>
  <c r="H102" i="3" s="1"/>
  <c r="K101" i="3"/>
  <c r="L101" i="3" s="1"/>
  <c r="M101" i="3" s="1"/>
  <c r="F101" i="3"/>
  <c r="G101" i="3" s="1"/>
  <c r="H101" i="3" s="1"/>
  <c r="K100" i="3"/>
  <c r="L100" i="3" s="1"/>
  <c r="M100" i="3" s="1"/>
  <c r="F100" i="3"/>
  <c r="G100" i="3" s="1"/>
  <c r="H100" i="3" s="1"/>
  <c r="K99" i="3"/>
  <c r="L99" i="3" s="1"/>
  <c r="M99" i="3" s="1"/>
  <c r="F99" i="3"/>
  <c r="G99" i="3" s="1"/>
  <c r="H99" i="3" s="1"/>
  <c r="K98" i="3"/>
  <c r="L98" i="3" s="1"/>
  <c r="M98" i="3" s="1"/>
  <c r="F98" i="3"/>
  <c r="G98" i="3" s="1"/>
  <c r="H98" i="3" s="1"/>
  <c r="M97" i="3"/>
  <c r="L97" i="3"/>
  <c r="K97" i="3"/>
  <c r="G97" i="3"/>
  <c r="H97" i="3" s="1"/>
  <c r="F97" i="3"/>
  <c r="L96" i="3"/>
  <c r="M96" i="3" s="1"/>
  <c r="K96" i="3"/>
  <c r="G96" i="3"/>
  <c r="H96" i="3" s="1"/>
  <c r="F96" i="3"/>
  <c r="L95" i="3"/>
  <c r="M95" i="3" s="1"/>
  <c r="K95" i="3"/>
  <c r="G95" i="3"/>
  <c r="H95" i="3" s="1"/>
  <c r="F95" i="3"/>
  <c r="K94" i="3"/>
  <c r="L94" i="3" s="1"/>
  <c r="M94" i="3" s="1"/>
  <c r="F94" i="3"/>
  <c r="G94" i="3" s="1"/>
  <c r="H94" i="3" s="1"/>
  <c r="K93" i="3"/>
  <c r="L93" i="3" s="1"/>
  <c r="M93" i="3" s="1"/>
  <c r="F93" i="3"/>
  <c r="G93" i="3" s="1"/>
  <c r="H93" i="3" s="1"/>
  <c r="K92" i="3"/>
  <c r="L92" i="3" s="1"/>
  <c r="M92" i="3" s="1"/>
  <c r="F92" i="3"/>
  <c r="G92" i="3" s="1"/>
  <c r="H92" i="3" s="1"/>
  <c r="K91" i="3"/>
  <c r="L91" i="3" s="1"/>
  <c r="M91" i="3" s="1"/>
  <c r="F91" i="3"/>
  <c r="G91" i="3" s="1"/>
  <c r="H91" i="3" s="1"/>
  <c r="K90" i="3"/>
  <c r="L90" i="3" s="1"/>
  <c r="M90" i="3" s="1"/>
  <c r="F90" i="3"/>
  <c r="G90" i="3" s="1"/>
  <c r="H90" i="3" s="1"/>
  <c r="M89" i="3"/>
  <c r="L89" i="3"/>
  <c r="K89" i="3"/>
  <c r="G89" i="3"/>
  <c r="H89" i="3" s="1"/>
  <c r="F89" i="3"/>
  <c r="L88" i="3"/>
  <c r="M88" i="3" s="1"/>
  <c r="K88" i="3"/>
  <c r="G88" i="3"/>
  <c r="H88" i="3" s="1"/>
  <c r="F88" i="3"/>
  <c r="L87" i="3"/>
  <c r="M87" i="3" s="1"/>
  <c r="K87" i="3"/>
  <c r="G87" i="3"/>
  <c r="H87" i="3" s="1"/>
  <c r="F87" i="3"/>
  <c r="K86" i="3"/>
  <c r="L86" i="3" s="1"/>
  <c r="M86" i="3" s="1"/>
  <c r="F86" i="3"/>
  <c r="G86" i="3" s="1"/>
  <c r="H86" i="3" s="1"/>
  <c r="K85" i="3"/>
  <c r="L85" i="3" s="1"/>
  <c r="M85" i="3" s="1"/>
  <c r="F85" i="3"/>
  <c r="G85" i="3" s="1"/>
  <c r="H85" i="3" s="1"/>
  <c r="K84" i="3"/>
  <c r="L84" i="3" s="1"/>
  <c r="M84" i="3" s="1"/>
  <c r="F84" i="3"/>
  <c r="G84" i="3" s="1"/>
  <c r="H84" i="3" s="1"/>
  <c r="K83" i="3"/>
  <c r="L83" i="3" s="1"/>
  <c r="M83" i="3" s="1"/>
  <c r="F83" i="3"/>
  <c r="G83" i="3" s="1"/>
  <c r="H83" i="3" s="1"/>
  <c r="K82" i="3"/>
  <c r="L82" i="3" s="1"/>
  <c r="M82" i="3" s="1"/>
  <c r="F82" i="3"/>
  <c r="G82" i="3" s="1"/>
  <c r="H82" i="3" s="1"/>
  <c r="M81" i="3"/>
  <c r="L81" i="3"/>
  <c r="K81" i="3"/>
  <c r="G81" i="3"/>
  <c r="H81" i="3" s="1"/>
  <c r="F81" i="3"/>
  <c r="L80" i="3"/>
  <c r="M80" i="3" s="1"/>
  <c r="K80" i="3"/>
  <c r="G80" i="3"/>
  <c r="H80" i="3" s="1"/>
  <c r="F80" i="3"/>
  <c r="L79" i="3"/>
  <c r="M79" i="3" s="1"/>
  <c r="K79" i="3"/>
  <c r="G79" i="3"/>
  <c r="H79" i="3" s="1"/>
  <c r="F79" i="3"/>
  <c r="K78" i="3"/>
  <c r="L78" i="3" s="1"/>
  <c r="M78" i="3" s="1"/>
  <c r="F78" i="3"/>
  <c r="G78" i="3" s="1"/>
  <c r="H78" i="3" s="1"/>
  <c r="K77" i="3"/>
  <c r="L77" i="3" s="1"/>
  <c r="M77" i="3" s="1"/>
  <c r="F77" i="3"/>
  <c r="G77" i="3" s="1"/>
  <c r="H77" i="3" s="1"/>
  <c r="K76" i="3"/>
  <c r="L76" i="3" s="1"/>
  <c r="M76" i="3" s="1"/>
  <c r="F76" i="3"/>
  <c r="G76" i="3" s="1"/>
  <c r="H76" i="3" s="1"/>
  <c r="K75" i="3"/>
  <c r="L75" i="3" s="1"/>
  <c r="M75" i="3" s="1"/>
  <c r="F75" i="3"/>
  <c r="G75" i="3" s="1"/>
  <c r="H75" i="3" s="1"/>
  <c r="K74" i="3"/>
  <c r="L74" i="3" s="1"/>
  <c r="M74" i="3" s="1"/>
  <c r="F74" i="3"/>
  <c r="G74" i="3" s="1"/>
  <c r="H74" i="3" s="1"/>
  <c r="M73" i="3"/>
  <c r="L73" i="3"/>
  <c r="K73" i="3"/>
  <c r="G73" i="3"/>
  <c r="H73" i="3" s="1"/>
  <c r="F73" i="3"/>
  <c r="L72" i="3"/>
  <c r="M72" i="3" s="1"/>
  <c r="K72" i="3"/>
  <c r="G72" i="3"/>
  <c r="H72" i="3" s="1"/>
  <c r="F72" i="3"/>
  <c r="L71" i="3"/>
  <c r="M71" i="3" s="1"/>
  <c r="K71" i="3"/>
  <c r="G71" i="3"/>
  <c r="H71" i="3" s="1"/>
  <c r="F71" i="3"/>
  <c r="K70" i="3"/>
  <c r="L70" i="3" s="1"/>
  <c r="M70" i="3" s="1"/>
  <c r="F70" i="3"/>
  <c r="G70" i="3" s="1"/>
  <c r="H70" i="3" s="1"/>
  <c r="K69" i="3"/>
  <c r="L69" i="3" s="1"/>
  <c r="M69" i="3" s="1"/>
  <c r="F69" i="3"/>
  <c r="G69" i="3" s="1"/>
  <c r="H69" i="3" s="1"/>
  <c r="K68" i="3"/>
  <c r="L68" i="3" s="1"/>
  <c r="M68" i="3" s="1"/>
  <c r="F68" i="3"/>
  <c r="G68" i="3" s="1"/>
  <c r="H68" i="3" s="1"/>
  <c r="K67" i="3"/>
  <c r="L67" i="3" s="1"/>
  <c r="M67" i="3" s="1"/>
  <c r="F67" i="3"/>
  <c r="G67" i="3" s="1"/>
  <c r="H67" i="3" s="1"/>
  <c r="K66" i="3"/>
  <c r="L66" i="3" s="1"/>
  <c r="M66" i="3" s="1"/>
  <c r="F66" i="3"/>
  <c r="G66" i="3" s="1"/>
  <c r="H66" i="3" s="1"/>
  <c r="M65" i="3"/>
  <c r="L65" i="3"/>
  <c r="K65" i="3"/>
  <c r="G65" i="3"/>
  <c r="H65" i="3" s="1"/>
  <c r="F65" i="3"/>
  <c r="L64" i="3"/>
  <c r="M64" i="3" s="1"/>
  <c r="K64" i="3"/>
  <c r="G64" i="3"/>
  <c r="H64" i="3" s="1"/>
  <c r="F64" i="3"/>
  <c r="L63" i="3"/>
  <c r="M63" i="3" s="1"/>
  <c r="K63" i="3"/>
  <c r="G63" i="3"/>
  <c r="H63" i="3" s="1"/>
  <c r="F63" i="3"/>
  <c r="K62" i="3"/>
  <c r="L62" i="3" s="1"/>
  <c r="M62" i="3" s="1"/>
  <c r="F62" i="3"/>
  <c r="G62" i="3" s="1"/>
  <c r="H62" i="3" s="1"/>
  <c r="K61" i="3"/>
  <c r="L61" i="3" s="1"/>
  <c r="M61" i="3" s="1"/>
  <c r="F61" i="3"/>
  <c r="G61" i="3" s="1"/>
  <c r="H61" i="3" s="1"/>
  <c r="K60" i="3"/>
  <c r="L60" i="3" s="1"/>
  <c r="M60" i="3" s="1"/>
  <c r="F60" i="3"/>
  <c r="G60" i="3" s="1"/>
  <c r="H60" i="3" s="1"/>
  <c r="K59" i="3"/>
  <c r="L59" i="3" s="1"/>
  <c r="M59" i="3" s="1"/>
  <c r="F59" i="3"/>
  <c r="G59" i="3" s="1"/>
  <c r="H59" i="3" s="1"/>
  <c r="K58" i="3"/>
  <c r="L58" i="3" s="1"/>
  <c r="M58" i="3" s="1"/>
  <c r="F58" i="3"/>
  <c r="G58" i="3" s="1"/>
  <c r="H58" i="3" s="1"/>
  <c r="M57" i="3"/>
  <c r="L57" i="3"/>
  <c r="K57" i="3"/>
  <c r="G57" i="3"/>
  <c r="H57" i="3" s="1"/>
  <c r="F57" i="3"/>
  <c r="L56" i="3"/>
  <c r="M56" i="3" s="1"/>
  <c r="K56" i="3"/>
  <c r="G56" i="3"/>
  <c r="H56" i="3" s="1"/>
  <c r="F56" i="3"/>
  <c r="L55" i="3"/>
  <c r="M55" i="3" s="1"/>
  <c r="K55" i="3"/>
  <c r="G55" i="3"/>
  <c r="H55" i="3" s="1"/>
  <c r="F55" i="3"/>
  <c r="K54" i="3"/>
  <c r="L54" i="3" s="1"/>
  <c r="M54" i="3" s="1"/>
  <c r="F54" i="3"/>
  <c r="G54" i="3" s="1"/>
  <c r="H54" i="3" s="1"/>
  <c r="K53" i="3"/>
  <c r="L53" i="3" s="1"/>
  <c r="M53" i="3" s="1"/>
  <c r="F53" i="3"/>
  <c r="G53" i="3" s="1"/>
  <c r="H53" i="3" s="1"/>
  <c r="K52" i="3"/>
  <c r="L52" i="3" s="1"/>
  <c r="M52" i="3" s="1"/>
  <c r="F52" i="3"/>
  <c r="G52" i="3" s="1"/>
  <c r="H52" i="3" s="1"/>
  <c r="K51" i="3"/>
  <c r="L51" i="3" s="1"/>
  <c r="M51" i="3" s="1"/>
  <c r="F51" i="3"/>
  <c r="G51" i="3" s="1"/>
  <c r="H51" i="3" s="1"/>
  <c r="K50" i="3"/>
  <c r="L50" i="3" s="1"/>
  <c r="M50" i="3" s="1"/>
  <c r="F50" i="3"/>
  <c r="G50" i="3" s="1"/>
  <c r="H50" i="3" s="1"/>
  <c r="M49" i="3"/>
  <c r="L49" i="3"/>
  <c r="K49" i="3"/>
  <c r="G49" i="3"/>
  <c r="H49" i="3" s="1"/>
  <c r="F49" i="3"/>
  <c r="L48" i="3"/>
  <c r="M48" i="3" s="1"/>
  <c r="K48" i="3"/>
  <c r="G48" i="3"/>
  <c r="H48" i="3" s="1"/>
  <c r="F48" i="3"/>
  <c r="L47" i="3"/>
  <c r="M47" i="3" s="1"/>
  <c r="K47" i="3"/>
  <c r="G47" i="3"/>
  <c r="H47" i="3" s="1"/>
  <c r="F47" i="3"/>
  <c r="K46" i="3"/>
  <c r="L46" i="3" s="1"/>
  <c r="M46" i="3" s="1"/>
  <c r="F46" i="3"/>
  <c r="G46" i="3" s="1"/>
  <c r="H46" i="3" s="1"/>
  <c r="K45" i="3"/>
  <c r="L45" i="3" s="1"/>
  <c r="M45" i="3" s="1"/>
  <c r="F45" i="3"/>
  <c r="G45" i="3" s="1"/>
  <c r="H45" i="3" s="1"/>
  <c r="K44" i="3"/>
  <c r="L44" i="3" s="1"/>
  <c r="M44" i="3" s="1"/>
  <c r="F44" i="3"/>
  <c r="G44" i="3" s="1"/>
  <c r="H44" i="3" s="1"/>
  <c r="K43" i="3"/>
  <c r="L43" i="3" s="1"/>
  <c r="M43" i="3" s="1"/>
  <c r="F43" i="3"/>
  <c r="G43" i="3" s="1"/>
  <c r="H43" i="3" s="1"/>
  <c r="K42" i="3"/>
  <c r="L42" i="3" s="1"/>
  <c r="M42" i="3" s="1"/>
  <c r="F42" i="3"/>
  <c r="G42" i="3" s="1"/>
  <c r="H42" i="3" s="1"/>
  <c r="K41" i="3"/>
  <c r="L41" i="3" s="1"/>
  <c r="M41" i="3" s="1"/>
  <c r="G41" i="3"/>
  <c r="H41" i="3" s="1"/>
  <c r="F41" i="3"/>
  <c r="L40" i="3"/>
  <c r="M40" i="3" s="1"/>
  <c r="K40" i="3"/>
  <c r="G40" i="3"/>
  <c r="H40" i="3" s="1"/>
  <c r="F40" i="3"/>
  <c r="L39" i="3"/>
  <c r="M39" i="3" s="1"/>
  <c r="K39" i="3"/>
  <c r="G39" i="3"/>
  <c r="H39" i="3" s="1"/>
  <c r="F39" i="3"/>
  <c r="K38" i="3"/>
  <c r="L38" i="3" s="1"/>
  <c r="M38" i="3" s="1"/>
  <c r="F38" i="3"/>
  <c r="G38" i="3" s="1"/>
  <c r="H38" i="3" s="1"/>
  <c r="K37" i="3"/>
  <c r="L37" i="3" s="1"/>
  <c r="M37" i="3" s="1"/>
  <c r="F37" i="3"/>
  <c r="G37" i="3" s="1"/>
  <c r="H37" i="3" s="1"/>
  <c r="K36" i="3"/>
  <c r="L36" i="3" s="1"/>
  <c r="M36" i="3" s="1"/>
  <c r="F36" i="3"/>
  <c r="G36" i="3" s="1"/>
  <c r="H36" i="3" s="1"/>
  <c r="K35" i="3"/>
  <c r="L35" i="3" s="1"/>
  <c r="M35" i="3" s="1"/>
  <c r="F35" i="3"/>
  <c r="G35" i="3" s="1"/>
  <c r="H35" i="3" s="1"/>
  <c r="K34" i="3"/>
  <c r="L34" i="3" s="1"/>
  <c r="M34" i="3" s="1"/>
  <c r="F34" i="3"/>
  <c r="G34" i="3" s="1"/>
  <c r="H34" i="3" s="1"/>
  <c r="K33" i="3"/>
  <c r="L33" i="3" s="1"/>
  <c r="M33" i="3" s="1"/>
  <c r="G33" i="3"/>
  <c r="H33" i="3" s="1"/>
  <c r="F33" i="3"/>
  <c r="L32" i="3"/>
  <c r="M32" i="3" s="1"/>
  <c r="K32" i="3"/>
  <c r="G32" i="3"/>
  <c r="H32" i="3" s="1"/>
  <c r="F32" i="3"/>
  <c r="L31" i="3"/>
  <c r="M31" i="3" s="1"/>
  <c r="K31" i="3"/>
  <c r="G31" i="3"/>
  <c r="H31" i="3" s="1"/>
  <c r="F31" i="3"/>
  <c r="K30" i="3"/>
  <c r="L30" i="3" s="1"/>
  <c r="M30" i="3" s="1"/>
  <c r="F30" i="3"/>
  <c r="G30" i="3" s="1"/>
  <c r="H30" i="3" s="1"/>
  <c r="K29" i="3"/>
  <c r="L29" i="3" s="1"/>
  <c r="M29" i="3" s="1"/>
  <c r="F29" i="3"/>
  <c r="G29" i="3" s="1"/>
  <c r="H29" i="3" s="1"/>
  <c r="K28" i="3"/>
  <c r="L28" i="3" s="1"/>
  <c r="M28" i="3" s="1"/>
  <c r="F28" i="3"/>
  <c r="G28" i="3" s="1"/>
  <c r="H28" i="3" s="1"/>
  <c r="K27" i="3"/>
  <c r="L27" i="3" s="1"/>
  <c r="M27" i="3" s="1"/>
  <c r="F27" i="3"/>
  <c r="G27" i="3" s="1"/>
  <c r="H27" i="3" s="1"/>
  <c r="K26" i="3"/>
  <c r="L26" i="3" s="1"/>
  <c r="M26" i="3" s="1"/>
  <c r="F26" i="3"/>
  <c r="G26" i="3" s="1"/>
  <c r="H26" i="3" s="1"/>
  <c r="K25" i="3"/>
  <c r="L25" i="3" s="1"/>
  <c r="M25" i="3" s="1"/>
  <c r="G25" i="3"/>
  <c r="H25" i="3" s="1"/>
  <c r="F25" i="3"/>
  <c r="L24" i="3"/>
  <c r="M24" i="3" s="1"/>
  <c r="K24" i="3"/>
  <c r="G24" i="3"/>
  <c r="H24" i="3" s="1"/>
  <c r="F24" i="3"/>
  <c r="L23" i="3"/>
  <c r="M23" i="3" s="1"/>
  <c r="K23" i="3"/>
  <c r="G23" i="3"/>
  <c r="H23" i="3" s="1"/>
  <c r="F23" i="3"/>
  <c r="C8" i="3"/>
  <c r="D8" i="3" s="1"/>
  <c r="D7" i="3"/>
  <c r="C7" i="3"/>
  <c r="C6" i="3"/>
  <c r="D6" i="3" s="1"/>
  <c r="C5" i="3"/>
  <c r="D5" i="3" s="1"/>
  <c r="D4" i="3"/>
  <c r="C4" i="3"/>
  <c r="C3" i="3"/>
  <c r="D3" i="3" s="1"/>
  <c r="C2" i="3"/>
  <c r="D2" i="3" s="1"/>
  <c r="K122" i="2" l="1"/>
  <c r="L122" i="2" s="1"/>
  <c r="M122" i="2" s="1"/>
  <c r="G122" i="2"/>
  <c r="H122" i="2" s="1"/>
  <c r="F122" i="2"/>
  <c r="K121" i="2"/>
  <c r="L121" i="2" s="1"/>
  <c r="M121" i="2" s="1"/>
  <c r="F121" i="2"/>
  <c r="G121" i="2" s="1"/>
  <c r="H121" i="2" s="1"/>
  <c r="K120" i="2"/>
  <c r="L120" i="2" s="1"/>
  <c r="M120" i="2" s="1"/>
  <c r="H120" i="2"/>
  <c r="G120" i="2"/>
  <c r="F120" i="2"/>
  <c r="K119" i="2"/>
  <c r="L119" i="2" s="1"/>
  <c r="M119" i="2" s="1"/>
  <c r="G119" i="2"/>
  <c r="H119" i="2" s="1"/>
  <c r="F119" i="2"/>
  <c r="L118" i="2"/>
  <c r="M118" i="2" s="1"/>
  <c r="K118" i="2"/>
  <c r="G118" i="2"/>
  <c r="H118" i="2" s="1"/>
  <c r="F118" i="2"/>
  <c r="K117" i="2"/>
  <c r="L117" i="2" s="1"/>
  <c r="M117" i="2" s="1"/>
  <c r="G117" i="2"/>
  <c r="H117" i="2" s="1"/>
  <c r="F117" i="2"/>
  <c r="K116" i="2"/>
  <c r="L116" i="2" s="1"/>
  <c r="M116" i="2" s="1"/>
  <c r="F116" i="2"/>
  <c r="G116" i="2" s="1"/>
  <c r="H116" i="2" s="1"/>
  <c r="K115" i="2"/>
  <c r="L115" i="2" s="1"/>
  <c r="M115" i="2" s="1"/>
  <c r="F115" i="2"/>
  <c r="G115" i="2" s="1"/>
  <c r="H115" i="2" s="1"/>
  <c r="K110" i="2"/>
  <c r="L110" i="2" s="1"/>
  <c r="M110" i="2" s="1"/>
  <c r="G110" i="2"/>
  <c r="H110" i="2" s="1"/>
  <c r="F110" i="2"/>
  <c r="M109" i="2"/>
  <c r="L109" i="2"/>
  <c r="K109" i="2"/>
  <c r="H109" i="2"/>
  <c r="G109" i="2"/>
  <c r="F109" i="2"/>
  <c r="K108" i="2"/>
  <c r="L108" i="2" s="1"/>
  <c r="M108" i="2" s="1"/>
  <c r="G108" i="2"/>
  <c r="H108" i="2" s="1"/>
  <c r="F108" i="2"/>
  <c r="K107" i="2"/>
  <c r="L107" i="2" s="1"/>
  <c r="M107" i="2" s="1"/>
  <c r="G107" i="2"/>
  <c r="H107" i="2" s="1"/>
  <c r="F107" i="2"/>
  <c r="L106" i="2"/>
  <c r="M106" i="2" s="1"/>
  <c r="K106" i="2"/>
  <c r="G106" i="2"/>
  <c r="H106" i="2" s="1"/>
  <c r="F106" i="2"/>
  <c r="K105" i="2"/>
  <c r="L105" i="2" s="1"/>
  <c r="M105" i="2" s="1"/>
  <c r="G105" i="2"/>
  <c r="H105" i="2" s="1"/>
  <c r="F105" i="2"/>
  <c r="K104" i="2"/>
  <c r="L104" i="2" s="1"/>
  <c r="M104" i="2" s="1"/>
  <c r="F104" i="2"/>
  <c r="G104" i="2" s="1"/>
  <c r="H104" i="2" s="1"/>
  <c r="K103" i="2"/>
  <c r="L103" i="2" s="1"/>
  <c r="M103" i="2" s="1"/>
  <c r="F103" i="2"/>
  <c r="G103" i="2" s="1"/>
  <c r="H103" i="2" s="1"/>
  <c r="K102" i="2"/>
  <c r="L102" i="2" s="1"/>
  <c r="M102" i="2" s="1"/>
  <c r="G102" i="2"/>
  <c r="H102" i="2" s="1"/>
  <c r="F102" i="2"/>
  <c r="M101" i="2"/>
  <c r="L101" i="2"/>
  <c r="K101" i="2"/>
  <c r="H101" i="2"/>
  <c r="G101" i="2"/>
  <c r="F101" i="2"/>
  <c r="K100" i="2"/>
  <c r="L100" i="2" s="1"/>
  <c r="M100" i="2" s="1"/>
  <c r="G100" i="2"/>
  <c r="H100" i="2" s="1"/>
  <c r="F100" i="2"/>
  <c r="K98" i="2"/>
  <c r="L98" i="2" s="1"/>
  <c r="M98" i="2" s="1"/>
  <c r="G98" i="2"/>
  <c r="H98" i="2" s="1"/>
  <c r="F98" i="2"/>
  <c r="L97" i="2"/>
  <c r="M97" i="2" s="1"/>
  <c r="K97" i="2"/>
  <c r="G97" i="2"/>
  <c r="H97" i="2" s="1"/>
  <c r="F97" i="2"/>
  <c r="K96" i="2"/>
  <c r="L96" i="2" s="1"/>
  <c r="M96" i="2" s="1"/>
  <c r="G96" i="2"/>
  <c r="H96" i="2" s="1"/>
  <c r="F96" i="2"/>
  <c r="K95" i="2"/>
  <c r="L95" i="2" s="1"/>
  <c r="M95" i="2" s="1"/>
  <c r="F95" i="2"/>
  <c r="G95" i="2" s="1"/>
  <c r="H95" i="2" s="1"/>
  <c r="K94" i="2"/>
  <c r="L94" i="2" s="1"/>
  <c r="M94" i="2" s="1"/>
  <c r="F94" i="2"/>
  <c r="G94" i="2" s="1"/>
  <c r="H94" i="2" s="1"/>
  <c r="K93" i="2"/>
  <c r="L93" i="2" s="1"/>
  <c r="M93" i="2" s="1"/>
  <c r="G93" i="2"/>
  <c r="H93" i="2" s="1"/>
  <c r="F93" i="2"/>
  <c r="M92" i="2"/>
  <c r="L92" i="2"/>
  <c r="K92" i="2"/>
  <c r="H92" i="2"/>
  <c r="G92" i="2"/>
  <c r="F92" i="2"/>
  <c r="K91" i="2"/>
  <c r="L91" i="2" s="1"/>
  <c r="M91" i="2" s="1"/>
  <c r="G91" i="2"/>
  <c r="H91" i="2" s="1"/>
  <c r="F91" i="2"/>
  <c r="K90" i="2"/>
  <c r="L90" i="2" s="1"/>
  <c r="M90" i="2" s="1"/>
  <c r="G90" i="2"/>
  <c r="H90" i="2" s="1"/>
  <c r="F90" i="2"/>
  <c r="L89" i="2"/>
  <c r="M89" i="2" s="1"/>
  <c r="K89" i="2"/>
  <c r="G89" i="2"/>
  <c r="H89" i="2" s="1"/>
  <c r="F89" i="2"/>
  <c r="K88" i="2"/>
  <c r="L88" i="2" s="1"/>
  <c r="M88" i="2" s="1"/>
  <c r="G88" i="2"/>
  <c r="H88" i="2" s="1"/>
  <c r="F88" i="2"/>
  <c r="K86" i="2"/>
  <c r="L86" i="2" s="1"/>
  <c r="M86" i="2" s="1"/>
  <c r="F86" i="2"/>
  <c r="G86" i="2" s="1"/>
  <c r="H86" i="2" s="1"/>
  <c r="K85" i="2"/>
  <c r="L85" i="2" s="1"/>
  <c r="M85" i="2" s="1"/>
  <c r="F85" i="2"/>
  <c r="G85" i="2" s="1"/>
  <c r="H85" i="2" s="1"/>
  <c r="K84" i="2"/>
  <c r="L84" i="2" s="1"/>
  <c r="M84" i="2" s="1"/>
  <c r="G84" i="2"/>
  <c r="H84" i="2" s="1"/>
  <c r="F84" i="2"/>
  <c r="M83" i="2"/>
  <c r="L83" i="2"/>
  <c r="K83" i="2"/>
  <c r="H83" i="2"/>
  <c r="G83" i="2"/>
  <c r="F83" i="2"/>
  <c r="K82" i="2"/>
  <c r="L82" i="2" s="1"/>
  <c r="M82" i="2" s="1"/>
  <c r="G82" i="2"/>
  <c r="H82" i="2" s="1"/>
  <c r="F82" i="2"/>
  <c r="K81" i="2"/>
  <c r="L81" i="2" s="1"/>
  <c r="M81" i="2" s="1"/>
  <c r="G81" i="2"/>
  <c r="H81" i="2" s="1"/>
  <c r="F81" i="2"/>
  <c r="L80" i="2"/>
  <c r="M80" i="2" s="1"/>
  <c r="K80" i="2"/>
  <c r="G80" i="2"/>
  <c r="H80" i="2" s="1"/>
  <c r="F80" i="2"/>
  <c r="K79" i="2"/>
  <c r="L79" i="2" s="1"/>
  <c r="M79" i="2" s="1"/>
  <c r="G79" i="2"/>
  <c r="H79" i="2" s="1"/>
  <c r="F79" i="2"/>
  <c r="K78" i="2"/>
  <c r="L78" i="2" s="1"/>
  <c r="M78" i="2" s="1"/>
  <c r="F78" i="2"/>
  <c r="G78" i="2" s="1"/>
  <c r="H78" i="2" s="1"/>
  <c r="K77" i="2"/>
  <c r="L77" i="2" s="1"/>
  <c r="M77" i="2" s="1"/>
  <c r="F77" i="2"/>
  <c r="G77" i="2" s="1"/>
  <c r="H77" i="2" s="1"/>
  <c r="K76" i="2"/>
  <c r="L76" i="2" s="1"/>
  <c r="M76" i="2" s="1"/>
  <c r="G76" i="2"/>
  <c r="H76" i="2" s="1"/>
  <c r="F76" i="2"/>
  <c r="M74" i="2"/>
  <c r="L74" i="2"/>
  <c r="K74" i="2"/>
  <c r="H74" i="2"/>
  <c r="G74" i="2"/>
  <c r="F74" i="2"/>
  <c r="K73" i="2"/>
  <c r="L73" i="2" s="1"/>
  <c r="M73" i="2" s="1"/>
  <c r="G73" i="2"/>
  <c r="H73" i="2" s="1"/>
  <c r="F73" i="2"/>
  <c r="K72" i="2"/>
  <c r="L72" i="2" s="1"/>
  <c r="M72" i="2" s="1"/>
  <c r="G72" i="2"/>
  <c r="H72" i="2" s="1"/>
  <c r="F72" i="2"/>
  <c r="L71" i="2"/>
  <c r="M71" i="2" s="1"/>
  <c r="K71" i="2"/>
  <c r="G71" i="2"/>
  <c r="H71" i="2" s="1"/>
  <c r="F71" i="2"/>
  <c r="K70" i="2"/>
  <c r="L70" i="2" s="1"/>
  <c r="M70" i="2" s="1"/>
  <c r="G70" i="2"/>
  <c r="H70" i="2" s="1"/>
  <c r="F70" i="2"/>
  <c r="K69" i="2"/>
  <c r="L69" i="2" s="1"/>
  <c r="M69" i="2" s="1"/>
  <c r="F69" i="2"/>
  <c r="G69" i="2" s="1"/>
  <c r="H69" i="2" s="1"/>
  <c r="K68" i="2"/>
  <c r="L68" i="2" s="1"/>
  <c r="M68" i="2" s="1"/>
  <c r="F68" i="2"/>
  <c r="G68" i="2" s="1"/>
  <c r="H68" i="2" s="1"/>
  <c r="K67" i="2"/>
  <c r="L67" i="2" s="1"/>
  <c r="M67" i="2" s="1"/>
  <c r="G67" i="2"/>
  <c r="H67" i="2" s="1"/>
  <c r="F67" i="2"/>
  <c r="M66" i="2"/>
  <c r="L66" i="2"/>
  <c r="K66" i="2"/>
  <c r="H66" i="2"/>
  <c r="G66" i="2"/>
  <c r="F66" i="2"/>
  <c r="K65" i="2"/>
  <c r="L65" i="2" s="1"/>
  <c r="M65" i="2" s="1"/>
  <c r="G65" i="2"/>
  <c r="H65" i="2" s="1"/>
  <c r="F65" i="2"/>
  <c r="K64" i="2"/>
  <c r="L64" i="2" s="1"/>
  <c r="M64" i="2" s="1"/>
  <c r="G64" i="2"/>
  <c r="H64" i="2" s="1"/>
  <c r="F64" i="2"/>
  <c r="L62" i="2"/>
  <c r="M62" i="2" s="1"/>
  <c r="K62" i="2"/>
  <c r="G62" i="2"/>
  <c r="H62" i="2" s="1"/>
  <c r="F62" i="2"/>
  <c r="K61" i="2"/>
  <c r="L61" i="2" s="1"/>
  <c r="M61" i="2" s="1"/>
  <c r="G61" i="2"/>
  <c r="H61" i="2" s="1"/>
  <c r="F61" i="2"/>
  <c r="K60" i="2"/>
  <c r="L60" i="2" s="1"/>
  <c r="M60" i="2" s="1"/>
  <c r="F60" i="2"/>
  <c r="G60" i="2" s="1"/>
  <c r="H60" i="2" s="1"/>
  <c r="K59" i="2"/>
  <c r="L59" i="2" s="1"/>
  <c r="M59" i="2" s="1"/>
  <c r="F59" i="2"/>
  <c r="G59" i="2" s="1"/>
  <c r="H59" i="2" s="1"/>
  <c r="K58" i="2"/>
  <c r="L58" i="2" s="1"/>
  <c r="M58" i="2" s="1"/>
  <c r="G58" i="2"/>
  <c r="H58" i="2" s="1"/>
  <c r="F58" i="2"/>
  <c r="M57" i="2"/>
  <c r="L57" i="2"/>
  <c r="K57" i="2"/>
  <c r="H57" i="2"/>
  <c r="G57" i="2"/>
  <c r="F57" i="2"/>
  <c r="K56" i="2"/>
  <c r="L56" i="2" s="1"/>
  <c r="M56" i="2" s="1"/>
  <c r="G56" i="2"/>
  <c r="H56" i="2" s="1"/>
  <c r="F56" i="2"/>
  <c r="K55" i="2"/>
  <c r="L55" i="2" s="1"/>
  <c r="M55" i="2" s="1"/>
  <c r="G55" i="2"/>
  <c r="H55" i="2" s="1"/>
  <c r="F55" i="2"/>
  <c r="L54" i="2"/>
  <c r="M54" i="2" s="1"/>
  <c r="K54" i="2"/>
  <c r="G54" i="2"/>
  <c r="H54" i="2" s="1"/>
  <c r="F54" i="2"/>
  <c r="K53" i="2"/>
  <c r="L53" i="2" s="1"/>
  <c r="M53" i="2" s="1"/>
  <c r="G53" i="2"/>
  <c r="H53" i="2" s="1"/>
  <c r="F53" i="2"/>
  <c r="K52" i="2"/>
  <c r="L52" i="2" s="1"/>
  <c r="M52" i="2" s="1"/>
  <c r="F52" i="2"/>
  <c r="G52" i="2" s="1"/>
  <c r="H52" i="2" s="1"/>
  <c r="K50" i="2"/>
  <c r="L50" i="2" s="1"/>
  <c r="M50" i="2" s="1"/>
  <c r="F50" i="2"/>
  <c r="G50" i="2" s="1"/>
  <c r="H50" i="2" s="1"/>
  <c r="K49" i="2"/>
  <c r="L49" i="2" s="1"/>
  <c r="M49" i="2" s="1"/>
  <c r="G49" i="2"/>
  <c r="H49" i="2" s="1"/>
  <c r="F49" i="2"/>
  <c r="M48" i="2"/>
  <c r="L48" i="2"/>
  <c r="K48" i="2"/>
  <c r="H48" i="2"/>
  <c r="G48" i="2"/>
  <c r="F48" i="2"/>
  <c r="K47" i="2"/>
  <c r="L47" i="2" s="1"/>
  <c r="M47" i="2" s="1"/>
  <c r="G47" i="2"/>
  <c r="H47" i="2" s="1"/>
  <c r="F47" i="2"/>
  <c r="K46" i="2"/>
  <c r="L46" i="2" s="1"/>
  <c r="M46" i="2" s="1"/>
  <c r="G46" i="2"/>
  <c r="H46" i="2" s="1"/>
  <c r="F46" i="2"/>
  <c r="L45" i="2"/>
  <c r="M45" i="2" s="1"/>
  <c r="K45" i="2"/>
  <c r="G45" i="2"/>
  <c r="H45" i="2" s="1"/>
  <c r="F45" i="2"/>
  <c r="K44" i="2"/>
  <c r="L44" i="2" s="1"/>
  <c r="M44" i="2" s="1"/>
  <c r="G44" i="2"/>
  <c r="H44" i="2" s="1"/>
  <c r="F44" i="2"/>
  <c r="K43" i="2"/>
  <c r="L43" i="2" s="1"/>
  <c r="M43" i="2" s="1"/>
  <c r="F43" i="2"/>
  <c r="G43" i="2" s="1"/>
  <c r="H43" i="2" s="1"/>
  <c r="K42" i="2"/>
  <c r="L42" i="2" s="1"/>
  <c r="M42" i="2" s="1"/>
  <c r="F42" i="2"/>
  <c r="G42" i="2" s="1"/>
  <c r="H42" i="2" s="1"/>
  <c r="K41" i="2"/>
  <c r="L41" i="2" s="1"/>
  <c r="M41" i="2" s="1"/>
  <c r="G41" i="2"/>
  <c r="H41" i="2" s="1"/>
  <c r="F41" i="2"/>
  <c r="M40" i="2"/>
  <c r="L40" i="2"/>
  <c r="K40" i="2"/>
  <c r="H40" i="2"/>
  <c r="G40" i="2"/>
  <c r="F40" i="2"/>
  <c r="K38" i="2"/>
  <c r="L38" i="2" s="1"/>
  <c r="M38" i="2" s="1"/>
  <c r="G38" i="2"/>
  <c r="H38" i="2" s="1"/>
  <c r="F38" i="2"/>
  <c r="K37" i="2"/>
  <c r="L37" i="2" s="1"/>
  <c r="M37" i="2" s="1"/>
  <c r="G37" i="2"/>
  <c r="H37" i="2" s="1"/>
  <c r="F37" i="2"/>
  <c r="L36" i="2"/>
  <c r="M36" i="2" s="1"/>
  <c r="K36" i="2"/>
  <c r="G36" i="2"/>
  <c r="H36" i="2" s="1"/>
  <c r="F36" i="2"/>
  <c r="K35" i="2"/>
  <c r="L35" i="2" s="1"/>
  <c r="M35" i="2" s="1"/>
  <c r="G35" i="2"/>
  <c r="H35" i="2" s="1"/>
  <c r="F35" i="2"/>
  <c r="K34" i="2"/>
  <c r="L34" i="2" s="1"/>
  <c r="M34" i="2" s="1"/>
  <c r="F34" i="2"/>
  <c r="G34" i="2" s="1"/>
  <c r="H34" i="2" s="1"/>
  <c r="K33" i="2"/>
  <c r="L33" i="2" s="1"/>
  <c r="M33" i="2" s="1"/>
  <c r="F33" i="2"/>
  <c r="G33" i="2" s="1"/>
  <c r="H33" i="2" s="1"/>
  <c r="K32" i="2"/>
  <c r="L32" i="2" s="1"/>
  <c r="M32" i="2" s="1"/>
  <c r="G32" i="2"/>
  <c r="H32" i="2" s="1"/>
  <c r="F32" i="2"/>
  <c r="K31" i="2"/>
  <c r="L31" i="2" s="1"/>
  <c r="M31" i="2" s="1"/>
  <c r="H31" i="2"/>
  <c r="G31" i="2"/>
  <c r="F31" i="2"/>
  <c r="K30" i="2"/>
  <c r="L30" i="2" s="1"/>
  <c r="M30" i="2" s="1"/>
  <c r="G30" i="2"/>
  <c r="H30" i="2" s="1"/>
  <c r="F30" i="2"/>
  <c r="K29" i="2"/>
  <c r="L29" i="2" s="1"/>
  <c r="M29" i="2" s="1"/>
  <c r="G29" i="2"/>
  <c r="H29" i="2" s="1"/>
  <c r="F29" i="2"/>
  <c r="L28" i="2"/>
  <c r="M28" i="2" s="1"/>
  <c r="K28" i="2"/>
  <c r="G28" i="2"/>
  <c r="H28" i="2" s="1"/>
  <c r="F28" i="2"/>
  <c r="B10" i="2"/>
  <c r="B12" i="2" s="1"/>
  <c r="C8" i="2" l="1"/>
  <c r="D8" i="2" s="1"/>
  <c r="C7" i="2"/>
  <c r="D7" i="2" s="1"/>
  <c r="C6" i="2"/>
  <c r="D6" i="2" s="1"/>
  <c r="C5" i="2"/>
  <c r="D5" i="2" s="1"/>
  <c r="C4" i="2"/>
  <c r="D4" i="2" s="1"/>
  <c r="C3" i="2"/>
  <c r="D3" i="2" s="1"/>
  <c r="C2" i="2"/>
  <c r="D2" i="2" s="1"/>
</calcChain>
</file>

<file path=xl/sharedStrings.xml><?xml version="1.0" encoding="utf-8"?>
<sst xmlns="http://schemas.openxmlformats.org/spreadsheetml/2006/main" count="1676" uniqueCount="279">
  <si>
    <t>pg/ul</t>
  </si>
  <si>
    <t>pg</t>
  </si>
  <si>
    <t>copy#</t>
  </si>
  <si>
    <t>log(copy#)</t>
  </si>
  <si>
    <t>CT</t>
  </si>
  <si>
    <t>log(copy#) from equation</t>
  </si>
  <si>
    <t>plasmid</t>
  </si>
  <si>
    <t>mw/nuc</t>
  </si>
  <si>
    <t>mw</t>
  </si>
  <si>
    <t xml:space="preserve">M segment </t>
  </si>
  <si>
    <t>pLLB</t>
  </si>
  <si>
    <t>Well</t>
  </si>
  <si>
    <t>Sample Name</t>
  </si>
  <si>
    <t>Cт</t>
  </si>
  <si>
    <t>Cт Mean</t>
  </si>
  <si>
    <t>Cт SD</t>
  </si>
  <si>
    <t>Log(COPY#)/well</t>
  </si>
  <si>
    <t>Copy#/well</t>
  </si>
  <si>
    <t>Copy#/ul/sample</t>
  </si>
  <si>
    <t>log(copy#) from equation #1</t>
  </si>
  <si>
    <t>log(copy#) from equation #2</t>
  </si>
  <si>
    <t>A1</t>
  </si>
  <si>
    <t>HK68 100</t>
  </si>
  <si>
    <t>A2</t>
  </si>
  <si>
    <t>A3</t>
  </si>
  <si>
    <t>A4</t>
  </si>
  <si>
    <t>1</t>
  </si>
  <si>
    <t>A5</t>
  </si>
  <si>
    <t>A6</t>
  </si>
  <si>
    <t>9</t>
  </si>
  <si>
    <t>A7</t>
  </si>
  <si>
    <t>A8</t>
  </si>
  <si>
    <t>17</t>
  </si>
  <si>
    <t>A9</t>
  </si>
  <si>
    <t>A10</t>
  </si>
  <si>
    <t>25</t>
  </si>
  <si>
    <t>A11</t>
  </si>
  <si>
    <t>A12</t>
  </si>
  <si>
    <t/>
  </si>
  <si>
    <t>B1</t>
  </si>
  <si>
    <t>HK68 10</t>
  </si>
  <si>
    <t>B2</t>
  </si>
  <si>
    <t>B3</t>
  </si>
  <si>
    <t>B4</t>
  </si>
  <si>
    <t>2</t>
  </si>
  <si>
    <t>B5</t>
  </si>
  <si>
    <t>B6</t>
  </si>
  <si>
    <t>10</t>
  </si>
  <si>
    <t>B7</t>
  </si>
  <si>
    <t>B8</t>
  </si>
  <si>
    <t>18</t>
  </si>
  <si>
    <t>B9</t>
  </si>
  <si>
    <t>B10</t>
  </si>
  <si>
    <t>26</t>
  </si>
  <si>
    <t>B11</t>
  </si>
  <si>
    <t>B12</t>
  </si>
  <si>
    <t>C1</t>
  </si>
  <si>
    <t>HK68 1</t>
  </si>
  <si>
    <t>C2</t>
  </si>
  <si>
    <t>C3</t>
  </si>
  <si>
    <t>C4</t>
  </si>
  <si>
    <t>3</t>
  </si>
  <si>
    <t>C5</t>
  </si>
  <si>
    <t>C6</t>
  </si>
  <si>
    <t>11</t>
  </si>
  <si>
    <t>C7</t>
  </si>
  <si>
    <t>C8</t>
  </si>
  <si>
    <t>19</t>
  </si>
  <si>
    <t>C9</t>
  </si>
  <si>
    <t>C10</t>
  </si>
  <si>
    <t>27</t>
  </si>
  <si>
    <t>C11</t>
  </si>
  <si>
    <t>C12</t>
  </si>
  <si>
    <t>D1</t>
  </si>
  <si>
    <t>HK68 0.1</t>
  </si>
  <si>
    <t>D2</t>
  </si>
  <si>
    <t>D3</t>
  </si>
  <si>
    <t>D4</t>
  </si>
  <si>
    <t>4</t>
  </si>
  <si>
    <t>D5</t>
  </si>
  <si>
    <t>D6</t>
  </si>
  <si>
    <t>12</t>
  </si>
  <si>
    <t>D7</t>
  </si>
  <si>
    <t>D8</t>
  </si>
  <si>
    <t>20</t>
  </si>
  <si>
    <t>D9</t>
  </si>
  <si>
    <t>D10</t>
  </si>
  <si>
    <t>28</t>
  </si>
  <si>
    <t>D11</t>
  </si>
  <si>
    <t>D12</t>
  </si>
  <si>
    <t>E1</t>
  </si>
  <si>
    <t>HK68 0.01</t>
  </si>
  <si>
    <t>E2</t>
  </si>
  <si>
    <t>E3</t>
  </si>
  <si>
    <t>E4</t>
  </si>
  <si>
    <t>5</t>
  </si>
  <si>
    <t>E5</t>
  </si>
  <si>
    <t>E6</t>
  </si>
  <si>
    <t>13</t>
  </si>
  <si>
    <t>E7</t>
  </si>
  <si>
    <t>E8</t>
  </si>
  <si>
    <t>21</t>
  </si>
  <si>
    <t>E9</t>
  </si>
  <si>
    <t>E10</t>
  </si>
  <si>
    <t>29</t>
  </si>
  <si>
    <t>E11</t>
  </si>
  <si>
    <t>E12</t>
  </si>
  <si>
    <t>F1</t>
  </si>
  <si>
    <t>HK68 0.001</t>
  </si>
  <si>
    <t>F2</t>
  </si>
  <si>
    <t>F3</t>
  </si>
  <si>
    <t>F4</t>
  </si>
  <si>
    <t>6</t>
  </si>
  <si>
    <t>F5</t>
  </si>
  <si>
    <t>F6</t>
  </si>
  <si>
    <t>14</t>
  </si>
  <si>
    <t>F7</t>
  </si>
  <si>
    <t>F8</t>
  </si>
  <si>
    <t>22</t>
  </si>
  <si>
    <t>F9</t>
  </si>
  <si>
    <t>F10</t>
  </si>
  <si>
    <t>30</t>
  </si>
  <si>
    <t>F11</t>
  </si>
  <si>
    <t>F12</t>
  </si>
  <si>
    <t>G1</t>
  </si>
  <si>
    <t>HK68 0.0001</t>
  </si>
  <si>
    <t>G2</t>
  </si>
  <si>
    <t>G3</t>
  </si>
  <si>
    <t>G4</t>
  </si>
  <si>
    <t>7</t>
  </si>
  <si>
    <t>G5</t>
  </si>
  <si>
    <t>G6</t>
  </si>
  <si>
    <t>15</t>
  </si>
  <si>
    <t>G7</t>
  </si>
  <si>
    <t>G8</t>
  </si>
  <si>
    <t>23</t>
  </si>
  <si>
    <t>G9</t>
  </si>
  <si>
    <t>G10</t>
  </si>
  <si>
    <t>31</t>
  </si>
  <si>
    <t>G11</t>
  </si>
  <si>
    <t>G12</t>
  </si>
  <si>
    <t>H1</t>
  </si>
  <si>
    <t>Undetermined</t>
  </si>
  <si>
    <t>H2</t>
  </si>
  <si>
    <t>H3</t>
  </si>
  <si>
    <t>H4</t>
  </si>
  <si>
    <t>8</t>
  </si>
  <si>
    <t>H5</t>
  </si>
  <si>
    <t>H6</t>
  </si>
  <si>
    <t>16</t>
  </si>
  <si>
    <t>H7</t>
  </si>
  <si>
    <t>H8</t>
  </si>
  <si>
    <t>24</t>
  </si>
  <si>
    <t>H9</t>
  </si>
  <si>
    <t>H10</t>
  </si>
  <si>
    <t>32</t>
  </si>
  <si>
    <t>H11</t>
  </si>
  <si>
    <t>H12</t>
  </si>
  <si>
    <t>HK68 1000</t>
  </si>
  <si>
    <t>33</t>
  </si>
  <si>
    <t>41</t>
  </si>
  <si>
    <t>49</t>
  </si>
  <si>
    <t>57</t>
  </si>
  <si>
    <t>34</t>
  </si>
  <si>
    <t>42</t>
  </si>
  <si>
    <t>50</t>
  </si>
  <si>
    <t>58</t>
  </si>
  <si>
    <t>35</t>
  </si>
  <si>
    <t>43</t>
  </si>
  <si>
    <t>51</t>
  </si>
  <si>
    <t>59</t>
  </si>
  <si>
    <t>36</t>
  </si>
  <si>
    <t>44</t>
  </si>
  <si>
    <t>52</t>
  </si>
  <si>
    <t>60</t>
  </si>
  <si>
    <t>37</t>
  </si>
  <si>
    <t>45</t>
  </si>
  <si>
    <t>53</t>
  </si>
  <si>
    <t>61</t>
  </si>
  <si>
    <t>38</t>
  </si>
  <si>
    <t>46</t>
  </si>
  <si>
    <t>54</t>
  </si>
  <si>
    <t>62</t>
  </si>
  <si>
    <t>39</t>
  </si>
  <si>
    <t>47</t>
  </si>
  <si>
    <t>55</t>
  </si>
  <si>
    <t>63</t>
  </si>
  <si>
    <t>40</t>
  </si>
  <si>
    <t>48</t>
  </si>
  <si>
    <t>56</t>
  </si>
  <si>
    <t>64</t>
  </si>
  <si>
    <t>dilution factor</t>
  </si>
  <si>
    <t>65</t>
  </si>
  <si>
    <t>73</t>
  </si>
  <si>
    <t>81</t>
  </si>
  <si>
    <t>89</t>
  </si>
  <si>
    <t>66</t>
  </si>
  <si>
    <t>74</t>
  </si>
  <si>
    <t>82</t>
  </si>
  <si>
    <t>90</t>
  </si>
  <si>
    <t>67</t>
  </si>
  <si>
    <t>75</t>
  </si>
  <si>
    <t>83</t>
  </si>
  <si>
    <t>91</t>
  </si>
  <si>
    <t>68</t>
  </si>
  <si>
    <t>76</t>
  </si>
  <si>
    <t>84</t>
  </si>
  <si>
    <t>92</t>
  </si>
  <si>
    <t>69</t>
  </si>
  <si>
    <t>77</t>
  </si>
  <si>
    <t>85</t>
  </si>
  <si>
    <t>93</t>
  </si>
  <si>
    <t>70</t>
  </si>
  <si>
    <t>78</t>
  </si>
  <si>
    <t>86</t>
  </si>
  <si>
    <t>94</t>
  </si>
  <si>
    <t>71</t>
  </si>
  <si>
    <t>79</t>
  </si>
  <si>
    <t>87</t>
  </si>
  <si>
    <t>95</t>
  </si>
  <si>
    <t>72</t>
  </si>
  <si>
    <t>80</t>
  </si>
  <si>
    <t>88</t>
  </si>
  <si>
    <t>PBS</t>
  </si>
  <si>
    <t>NTC</t>
  </si>
  <si>
    <t>Sample type</t>
  </si>
  <si>
    <t>ID</t>
  </si>
  <si>
    <t>Sex</t>
  </si>
  <si>
    <t>Host</t>
  </si>
  <si>
    <t>Treatment</t>
  </si>
  <si>
    <t>Round</t>
  </si>
  <si>
    <t>Line</t>
  </si>
  <si>
    <t>HostStrain</t>
  </si>
  <si>
    <r>
      <t>TCID</t>
    </r>
    <r>
      <rPr>
        <b/>
        <vertAlign val="subscript"/>
        <sz val="11"/>
        <color theme="1"/>
        <rFont val="Aptos Narrow"/>
        <family val="2"/>
        <scheme val="minor"/>
      </rPr>
      <t>50</t>
    </r>
  </si>
  <si>
    <t>Plate 1 well</t>
  </si>
  <si>
    <t>96 well</t>
  </si>
  <si>
    <t>Copy number</t>
  </si>
  <si>
    <t>Previous</t>
  </si>
  <si>
    <t>Ratio</t>
  </si>
  <si>
    <t>qPCR Repeated</t>
  </si>
  <si>
    <t>Plate 2 well</t>
  </si>
  <si>
    <t>MICE INFECTED WITH STOCK (R1)</t>
  </si>
  <si>
    <t>M</t>
  </si>
  <si>
    <t>BALBM</t>
  </si>
  <si>
    <t>Stock</t>
  </si>
  <si>
    <t>BALB/C</t>
  </si>
  <si>
    <t>F</t>
  </si>
  <si>
    <t>BALBF</t>
  </si>
  <si>
    <t>R</t>
  </si>
  <si>
    <t>BL6M</t>
  </si>
  <si>
    <t>C57BL/6</t>
  </si>
  <si>
    <t>BL6F</t>
  </si>
  <si>
    <t>BALB/c F TIME COURSE</t>
  </si>
  <si>
    <t>1X</t>
  </si>
  <si>
    <t>2X</t>
  </si>
  <si>
    <t>1+2</t>
  </si>
  <si>
    <t>3+4</t>
  </si>
  <si>
    <t>4X</t>
  </si>
  <si>
    <t>C57BL/6 F TIME COURSE</t>
  </si>
  <si>
    <t>These two were switched</t>
  </si>
  <si>
    <t>FINAL ROUND OF PASSAGE</t>
  </si>
  <si>
    <t>This was low volume sample (40ul)</t>
  </si>
  <si>
    <t>BALB/c F R10 Cell-passaged (Not homogenate)</t>
  </si>
  <si>
    <t>9768P</t>
  </si>
  <si>
    <t>Cell-passaged</t>
  </si>
  <si>
    <t>9773P</t>
  </si>
  <si>
    <t>9783P</t>
  </si>
  <si>
    <t>9776P</t>
  </si>
  <si>
    <t>9769P</t>
  </si>
  <si>
    <t>9786P</t>
  </si>
  <si>
    <t>9770P</t>
  </si>
  <si>
    <t>9785P</t>
  </si>
  <si>
    <t xml:space="preserve">BALB/c F R11 TEST PHASE (WITH PUR)                        </t>
  </si>
  <si>
    <t>Test (R11)</t>
  </si>
  <si>
    <t>1XP</t>
  </si>
  <si>
    <t>BALB into BL6</t>
  </si>
  <si>
    <t>STOCK</t>
  </si>
  <si>
    <t>PLASMID CTRL</t>
  </si>
  <si>
    <t>Plasmid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</si>
</sst>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B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11" fontId="0" fillId="2" borderId="0" xfId="0" applyNumberFormat="1" applyFill="1"/>
    <xf numFmtId="11" fontId="0" fillId="0" borderId="0" xfId="0" applyNumberFormat="1"/>
    <xf numFmtId="0" fontId="0" fillId="3" borderId="0" xfId="0" applyFill="1"/>
    <xf numFmtId="11" fontId="0" fillId="3" borderId="0" xfId="0" applyNumberFormat="1" applyFill="1"/>
    <xf numFmtId="0" fontId="0" fillId="4" borderId="0" xfId="0" applyFill="1"/>
    <xf numFmtId="11" fontId="0" fillId="4" borderId="0" xfId="0" applyNumberFormat="1" applyFill="1"/>
    <xf numFmtId="0" fontId="0" fillId="5" borderId="0" xfId="0" applyFill="1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3" xfId="0" applyNumberFormat="1" applyBorder="1" applyAlignment="1">
      <alignment horizontal="right" vertical="center"/>
    </xf>
    <xf numFmtId="11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5" xfId="0" applyNumberForma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0" fillId="0" borderId="8" xfId="0" applyNumberFormat="1" applyBorder="1" applyAlignment="1">
      <alignment horizontal="right" vertical="center"/>
    </xf>
    <xf numFmtId="3" fontId="0" fillId="0" borderId="3" xfId="0" applyNumberFormat="1" applyBorder="1" applyAlignment="1">
      <alignment vertical="center"/>
    </xf>
    <xf numFmtId="3" fontId="0" fillId="0" borderId="5" xfId="0" applyNumberFormat="1" applyBorder="1" applyAlignment="1">
      <alignment vertical="center"/>
    </xf>
    <xf numFmtId="11" fontId="5" fillId="0" borderId="0" xfId="0" applyNumberFormat="1" applyFont="1" applyAlignment="1">
      <alignment vertical="center"/>
    </xf>
    <xf numFmtId="0" fontId="6" fillId="0" borderId="6" xfId="0" applyFont="1" applyBorder="1" applyAlignment="1">
      <alignment horizontal="center" vertical="center"/>
    </xf>
    <xf numFmtId="3" fontId="0" fillId="0" borderId="8" xfId="0" applyNumberFormat="1" applyBorder="1" applyAlignment="1">
      <alignment vertical="center"/>
    </xf>
    <xf numFmtId="0" fontId="6" fillId="0" borderId="0" xfId="0" applyFont="1" applyAlignment="1">
      <alignment vertical="center"/>
    </xf>
    <xf numFmtId="11" fontId="6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1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3" fontId="5" fillId="0" borderId="5" xfId="0" applyNumberFormat="1" applyFont="1" applyBorder="1" applyAlignment="1">
      <alignment horizontal="right" vertical="center"/>
    </xf>
    <xf numFmtId="3" fontId="1" fillId="0" borderId="5" xfId="0" applyNumberFormat="1" applyFont="1" applyBorder="1" applyAlignment="1">
      <alignment horizontal="right" vertical="center"/>
    </xf>
    <xf numFmtId="2" fontId="5" fillId="0" borderId="0" xfId="0" applyNumberFormat="1" applyFont="1" applyAlignment="1">
      <alignment vertical="center"/>
    </xf>
    <xf numFmtId="0" fontId="0" fillId="0" borderId="0" xfId="0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3" fontId="5" fillId="6" borderId="3" xfId="0" applyNumberFormat="1" applyFont="1" applyFill="1" applyBorder="1" applyAlignment="1">
      <alignment horizontal="right" vertical="center"/>
    </xf>
    <xf numFmtId="0" fontId="2" fillId="6" borderId="4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3" fontId="5" fillId="6" borderId="5" xfId="0" applyNumberFormat="1" applyFont="1" applyFill="1" applyBorder="1" applyAlignment="1">
      <alignment horizontal="right" vertical="center"/>
    </xf>
    <xf numFmtId="3" fontId="0" fillId="6" borderId="5" xfId="0" applyNumberFormat="1" applyFill="1" applyBorder="1" applyAlignment="1">
      <alignment vertical="center"/>
    </xf>
    <xf numFmtId="0" fontId="2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3" fontId="5" fillId="6" borderId="8" xfId="0" applyNumberFormat="1" applyFont="1" applyFill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3" fontId="2" fillId="0" borderId="11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vertical="center"/>
    </xf>
    <xf numFmtId="0" fontId="0" fillId="0" borderId="10" xfId="0" applyBorder="1" applyAlignment="1">
      <alignment vertical="center"/>
    </xf>
    <xf numFmtId="3" fontId="0" fillId="0" borderId="11" xfId="0" applyNumberFormat="1" applyBorder="1" applyAlignment="1">
      <alignment vertical="center"/>
    </xf>
    <xf numFmtId="0" fontId="2" fillId="0" borderId="0" xfId="0" applyFont="1" applyAlignment="1">
      <alignment vertical="center"/>
    </xf>
    <xf numFmtId="3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'[1]Copy#'!$D$2:$D$8</c:f>
              <c:numCache>
                <c:formatCode>General</c:formatCode>
                <c:ptCount val="7"/>
                <c:pt idx="0">
                  <c:v>8.025912656953599</c:v>
                </c:pt>
                <c:pt idx="1">
                  <c:v>7.0259126569535999</c:v>
                </c:pt>
                <c:pt idx="2">
                  <c:v>6.0259126569535999</c:v>
                </c:pt>
                <c:pt idx="3">
                  <c:v>5.0259126569535999</c:v>
                </c:pt>
                <c:pt idx="4">
                  <c:v>4.0259126569535999</c:v>
                </c:pt>
                <c:pt idx="5">
                  <c:v>3.0259126569535995</c:v>
                </c:pt>
                <c:pt idx="6">
                  <c:v>2.0259126569535995</c:v>
                </c:pt>
              </c:numCache>
            </c:numRef>
          </c:xVal>
          <c:yVal>
            <c:numRef>
              <c:f>'[1]Copy#'!$E$2:$E$8</c:f>
              <c:numCache>
                <c:formatCode>General</c:formatCode>
                <c:ptCount val="7"/>
                <c:pt idx="0">
                  <c:v>18.837913513183594</c:v>
                </c:pt>
                <c:pt idx="1">
                  <c:v>25.188201904296875</c:v>
                </c:pt>
                <c:pt idx="2">
                  <c:v>29.996698379516602</c:v>
                </c:pt>
                <c:pt idx="3">
                  <c:v>31.10444450378418</c:v>
                </c:pt>
                <c:pt idx="4">
                  <c:v>35.555721282958984</c:v>
                </c:pt>
                <c:pt idx="6">
                  <c:v>38.692798614501953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CA-460B-981A-592F7EEAC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8906512"/>
        <c:axId val="858908144"/>
      </c:scatterChart>
      <c:valAx>
        <c:axId val="85890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908144"/>
        <c:crosses val="autoZero"/>
        <c:crossBetween val="midCat"/>
      </c:valAx>
      <c:valAx>
        <c:axId val="85890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90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'[1]Copy#'!$D$2:$D$4</c:f>
              <c:numCache>
                <c:formatCode>General</c:formatCode>
                <c:ptCount val="3"/>
                <c:pt idx="0">
                  <c:v>8.025912656953599</c:v>
                </c:pt>
                <c:pt idx="1">
                  <c:v>7.0259126569535999</c:v>
                </c:pt>
                <c:pt idx="2">
                  <c:v>6.0259126569535999</c:v>
                </c:pt>
              </c:numCache>
            </c:numRef>
          </c:xVal>
          <c:yVal>
            <c:numRef>
              <c:f>'[1]Copy#'!$E$2:$E$4</c:f>
              <c:numCache>
                <c:formatCode>General</c:formatCode>
                <c:ptCount val="3"/>
                <c:pt idx="0">
                  <c:v>18.837913513183594</c:v>
                </c:pt>
                <c:pt idx="1">
                  <c:v>25.188201904296875</c:v>
                </c:pt>
                <c:pt idx="2">
                  <c:v>29.996698379516602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F6-4923-9BDD-7E268CA2B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447872"/>
        <c:axId val="860751872"/>
      </c:scatterChart>
      <c:valAx>
        <c:axId val="86044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751872"/>
        <c:crosses val="autoZero"/>
        <c:crossBetween val="midCat"/>
      </c:valAx>
      <c:valAx>
        <c:axId val="86075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447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348031496062988"/>
                  <c:y val="-2.03514144065325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'[2]Copy#'!$D$2:$D$7</c:f>
              <c:numCache>
                <c:formatCode>General</c:formatCode>
                <c:ptCount val="6"/>
                <c:pt idx="0">
                  <c:v>9.025912656953599</c:v>
                </c:pt>
                <c:pt idx="1">
                  <c:v>8.025912656953599</c:v>
                </c:pt>
                <c:pt idx="2">
                  <c:v>7.0259126569535999</c:v>
                </c:pt>
                <c:pt idx="3">
                  <c:v>6.0259126569535999</c:v>
                </c:pt>
                <c:pt idx="4">
                  <c:v>5.0259126569535999</c:v>
                </c:pt>
                <c:pt idx="5">
                  <c:v>4.0259126569535999</c:v>
                </c:pt>
              </c:numCache>
            </c:numRef>
          </c:xVal>
          <c:yVal>
            <c:numRef>
              <c:f>'[2]Copy#'!$E$2:$E$7</c:f>
              <c:numCache>
                <c:formatCode>General</c:formatCode>
                <c:ptCount val="6"/>
                <c:pt idx="0">
                  <c:v>10.830920219421387</c:v>
                </c:pt>
                <c:pt idx="1">
                  <c:v>16.07171630859375</c:v>
                </c:pt>
                <c:pt idx="2">
                  <c:v>19.418052673339844</c:v>
                </c:pt>
                <c:pt idx="3">
                  <c:v>22.993682861328125</c:v>
                </c:pt>
                <c:pt idx="4">
                  <c:v>27.070867538452148</c:v>
                </c:pt>
                <c:pt idx="5">
                  <c:v>30.8297119140625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70-420E-B022-04059396D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898224"/>
        <c:axId val="1"/>
      </c:scatterChart>
      <c:valAx>
        <c:axId val="76789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89822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338232720909886"/>
                  <c:y val="-2.7035943423738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'[2]Copy#'!$D$3:$D$7</c:f>
              <c:numCache>
                <c:formatCode>General</c:formatCode>
                <c:ptCount val="5"/>
                <c:pt idx="0">
                  <c:v>8.025912656953599</c:v>
                </c:pt>
                <c:pt idx="1">
                  <c:v>7.0259126569535999</c:v>
                </c:pt>
                <c:pt idx="2">
                  <c:v>6.0259126569535999</c:v>
                </c:pt>
                <c:pt idx="3">
                  <c:v>5.0259126569535999</c:v>
                </c:pt>
                <c:pt idx="4">
                  <c:v>4.0259126569535999</c:v>
                </c:pt>
              </c:numCache>
            </c:numRef>
          </c:xVal>
          <c:yVal>
            <c:numRef>
              <c:f>'[2]Copy#'!$E$3:$E$7</c:f>
              <c:numCache>
                <c:formatCode>General</c:formatCode>
                <c:ptCount val="5"/>
                <c:pt idx="0">
                  <c:v>16.07171630859375</c:v>
                </c:pt>
                <c:pt idx="1">
                  <c:v>19.418052673339844</c:v>
                </c:pt>
                <c:pt idx="2">
                  <c:v>22.993682861328125</c:v>
                </c:pt>
                <c:pt idx="3">
                  <c:v>27.070867538452148</c:v>
                </c:pt>
                <c:pt idx="4">
                  <c:v>30.8297119140625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27-4AB4-89EB-E344A48DB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230544"/>
        <c:axId val="1"/>
      </c:scatterChart>
      <c:valAx>
        <c:axId val="86223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23054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409527756398872"/>
                  <c:y val="-2.47321504166817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'[3]Copy#'!$D$2:$D$8</c:f>
              <c:numCache>
                <c:formatCode>General</c:formatCode>
                <c:ptCount val="7"/>
                <c:pt idx="0">
                  <c:v>9.025912656953599</c:v>
                </c:pt>
                <c:pt idx="1">
                  <c:v>8.025912656953599</c:v>
                </c:pt>
                <c:pt idx="2">
                  <c:v>7.0259126569535999</c:v>
                </c:pt>
                <c:pt idx="3">
                  <c:v>6.0259126569535999</c:v>
                </c:pt>
                <c:pt idx="4">
                  <c:v>5.0259126569535999</c:v>
                </c:pt>
                <c:pt idx="5">
                  <c:v>4.0259126569535999</c:v>
                </c:pt>
                <c:pt idx="6">
                  <c:v>3.0259126569535995</c:v>
                </c:pt>
              </c:numCache>
            </c:numRef>
          </c:xVal>
          <c:yVal>
            <c:numRef>
              <c:f>'[3]Copy#'!$E$2:$E$8</c:f>
              <c:numCache>
                <c:formatCode>General</c:formatCode>
                <c:ptCount val="7"/>
                <c:pt idx="0">
                  <c:v>15.195370674133301</c:v>
                </c:pt>
                <c:pt idx="1">
                  <c:v>20.243108749389648</c:v>
                </c:pt>
                <c:pt idx="2">
                  <c:v>23.702169418334961</c:v>
                </c:pt>
                <c:pt idx="3">
                  <c:v>27.118562698364258</c:v>
                </c:pt>
                <c:pt idx="4">
                  <c:v>30.692253112792969</c:v>
                </c:pt>
                <c:pt idx="5">
                  <c:v>34.127887725830078</c:v>
                </c:pt>
                <c:pt idx="6">
                  <c:v>37.176860809326172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7B-4DDB-827B-05F1DEC1B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0783584"/>
        <c:axId val="862710688"/>
      </c:scatterChart>
      <c:valAx>
        <c:axId val="89078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710688"/>
        <c:crosses val="autoZero"/>
        <c:crossBetween val="midCat"/>
      </c:valAx>
      <c:valAx>
        <c:axId val="86271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78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804306604531575"/>
                  <c:y val="-4.56097173899774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'[3]Copy#'!$D$3:$D$8</c:f>
              <c:numCache>
                <c:formatCode>General</c:formatCode>
                <c:ptCount val="6"/>
                <c:pt idx="0">
                  <c:v>8.025912656953599</c:v>
                </c:pt>
                <c:pt idx="1">
                  <c:v>7.0259126569535999</c:v>
                </c:pt>
                <c:pt idx="2">
                  <c:v>6.0259126569535999</c:v>
                </c:pt>
                <c:pt idx="3">
                  <c:v>5.0259126569535999</c:v>
                </c:pt>
                <c:pt idx="4">
                  <c:v>4.0259126569535999</c:v>
                </c:pt>
                <c:pt idx="5">
                  <c:v>3.0259126569535995</c:v>
                </c:pt>
              </c:numCache>
            </c:numRef>
          </c:xVal>
          <c:yVal>
            <c:numRef>
              <c:f>'[3]Copy#'!$E$3:$E$8</c:f>
              <c:numCache>
                <c:formatCode>General</c:formatCode>
                <c:ptCount val="6"/>
                <c:pt idx="0">
                  <c:v>20.243108749389648</c:v>
                </c:pt>
                <c:pt idx="1">
                  <c:v>23.702169418334961</c:v>
                </c:pt>
                <c:pt idx="2">
                  <c:v>27.118562698364258</c:v>
                </c:pt>
                <c:pt idx="3">
                  <c:v>30.692253112792969</c:v>
                </c:pt>
                <c:pt idx="4">
                  <c:v>34.127887725830078</c:v>
                </c:pt>
                <c:pt idx="5">
                  <c:v>37.176860809326172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D4-4F52-9E23-E48F0EDC2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845632"/>
        <c:axId val="893775552"/>
      </c:scatterChart>
      <c:valAx>
        <c:axId val="82884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775552"/>
        <c:crosses val="autoZero"/>
        <c:crossBetween val="midCat"/>
      </c:valAx>
      <c:valAx>
        <c:axId val="89377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845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660454943132109"/>
                  <c:y val="4.818496646252552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'[3]Copy#'!$D$3:$D$7</c:f>
              <c:numCache>
                <c:formatCode>General</c:formatCode>
                <c:ptCount val="5"/>
                <c:pt idx="0">
                  <c:v>8.025912656953599</c:v>
                </c:pt>
                <c:pt idx="1">
                  <c:v>7.0259126569535999</c:v>
                </c:pt>
                <c:pt idx="2">
                  <c:v>6.0259126569535999</c:v>
                </c:pt>
                <c:pt idx="3">
                  <c:v>5.0259126569535999</c:v>
                </c:pt>
                <c:pt idx="4">
                  <c:v>4.0259126569535999</c:v>
                </c:pt>
              </c:numCache>
            </c:numRef>
          </c:xVal>
          <c:yVal>
            <c:numRef>
              <c:f>'[3]Copy#'!$E$3:$E$7</c:f>
              <c:numCache>
                <c:formatCode>General</c:formatCode>
                <c:ptCount val="5"/>
                <c:pt idx="0">
                  <c:v>20.243108749389648</c:v>
                </c:pt>
                <c:pt idx="1">
                  <c:v>23.702169418334961</c:v>
                </c:pt>
                <c:pt idx="2">
                  <c:v>27.118562698364258</c:v>
                </c:pt>
                <c:pt idx="3">
                  <c:v>30.692253112792969</c:v>
                </c:pt>
                <c:pt idx="4">
                  <c:v>34.127887725830078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4F-4308-B452-0D4EC871A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858160"/>
        <c:axId val="829091984"/>
      </c:scatterChart>
      <c:valAx>
        <c:axId val="89385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091984"/>
        <c:crosses val="autoZero"/>
        <c:crossBetween val="midCat"/>
      </c:valAx>
      <c:valAx>
        <c:axId val="82909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858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6297025371828524E-3"/>
                  <c:y val="-0.517400845727617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'[4]COPY#'!$D$2:$D$8</c:f>
              <c:numCache>
                <c:formatCode>General</c:formatCode>
                <c:ptCount val="7"/>
                <c:pt idx="0">
                  <c:v>9.025912656953599</c:v>
                </c:pt>
                <c:pt idx="1">
                  <c:v>8.025912656953599</c:v>
                </c:pt>
                <c:pt idx="2">
                  <c:v>7.0259126569535999</c:v>
                </c:pt>
                <c:pt idx="3">
                  <c:v>6.0259126569535999</c:v>
                </c:pt>
                <c:pt idx="4">
                  <c:v>5.0259126569535999</c:v>
                </c:pt>
                <c:pt idx="5">
                  <c:v>4.0259126569535999</c:v>
                </c:pt>
                <c:pt idx="6">
                  <c:v>3.0259126569535995</c:v>
                </c:pt>
              </c:numCache>
            </c:numRef>
          </c:xVal>
          <c:yVal>
            <c:numRef>
              <c:f>'[4]COPY#'!$E$2:$E$8</c:f>
              <c:numCache>
                <c:formatCode>General</c:formatCode>
                <c:ptCount val="7"/>
                <c:pt idx="0">
                  <c:v>14.838165283203125</c:v>
                </c:pt>
                <c:pt idx="1">
                  <c:v>20.001506805419922</c:v>
                </c:pt>
                <c:pt idx="2">
                  <c:v>23.676137924194336</c:v>
                </c:pt>
                <c:pt idx="3">
                  <c:v>27.231184005737305</c:v>
                </c:pt>
                <c:pt idx="4">
                  <c:v>30.763526916503906</c:v>
                </c:pt>
                <c:pt idx="5">
                  <c:v>34.474178314208984</c:v>
                </c:pt>
                <c:pt idx="6">
                  <c:v>37.321903228759766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DD-497F-92BF-EEB2EF9C6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704288"/>
        <c:axId val="1768030400"/>
      </c:scatterChart>
      <c:valAx>
        <c:axId val="1761704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030400"/>
        <c:crosses val="autoZero"/>
        <c:crossBetween val="midCat"/>
      </c:valAx>
      <c:valAx>
        <c:axId val="176803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704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2832458442694661E-3"/>
                  <c:y val="-0.425187372411781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'[4]COPY#'!$D$3:$D$8</c:f>
              <c:numCache>
                <c:formatCode>General</c:formatCode>
                <c:ptCount val="6"/>
                <c:pt idx="0">
                  <c:v>8.025912656953599</c:v>
                </c:pt>
                <c:pt idx="1">
                  <c:v>7.0259126569535999</c:v>
                </c:pt>
                <c:pt idx="2">
                  <c:v>6.0259126569535999</c:v>
                </c:pt>
                <c:pt idx="3">
                  <c:v>5.0259126569535999</c:v>
                </c:pt>
                <c:pt idx="4">
                  <c:v>4.0259126569535999</c:v>
                </c:pt>
                <c:pt idx="5">
                  <c:v>3.0259126569535995</c:v>
                </c:pt>
              </c:numCache>
            </c:numRef>
          </c:xVal>
          <c:yVal>
            <c:numRef>
              <c:f>'[4]COPY#'!$E$3:$E$8</c:f>
              <c:numCache>
                <c:formatCode>General</c:formatCode>
                <c:ptCount val="6"/>
                <c:pt idx="0">
                  <c:v>20.001506805419922</c:v>
                </c:pt>
                <c:pt idx="1">
                  <c:v>23.676137924194336</c:v>
                </c:pt>
                <c:pt idx="2">
                  <c:v>27.231184005737305</c:v>
                </c:pt>
                <c:pt idx="3">
                  <c:v>30.763526916503906</c:v>
                </c:pt>
                <c:pt idx="4">
                  <c:v>34.474178314208984</c:v>
                </c:pt>
                <c:pt idx="5">
                  <c:v>37.321903228759766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01-4287-898F-3C0473C57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565408"/>
        <c:axId val="1768921328"/>
      </c:scatterChart>
      <c:valAx>
        <c:axId val="176856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921328"/>
        <c:crosses val="autoZero"/>
        <c:crossBetween val="midCat"/>
      </c:valAx>
      <c:valAx>
        <c:axId val="17689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56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061023622047244E-3"/>
                  <c:y val="-0.446167979002624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'[4]COPY#'!$D$3:$D$7</c:f>
              <c:numCache>
                <c:formatCode>General</c:formatCode>
                <c:ptCount val="5"/>
                <c:pt idx="0">
                  <c:v>8.025912656953599</c:v>
                </c:pt>
                <c:pt idx="1">
                  <c:v>7.0259126569535999</c:v>
                </c:pt>
                <c:pt idx="2">
                  <c:v>6.0259126569535999</c:v>
                </c:pt>
                <c:pt idx="3">
                  <c:v>5.0259126569535999</c:v>
                </c:pt>
                <c:pt idx="4">
                  <c:v>4.0259126569535999</c:v>
                </c:pt>
              </c:numCache>
            </c:numRef>
          </c:xVal>
          <c:yVal>
            <c:numRef>
              <c:f>'[4]COPY#'!$E$3:$E$7</c:f>
              <c:numCache>
                <c:formatCode>General</c:formatCode>
                <c:ptCount val="5"/>
                <c:pt idx="0">
                  <c:v>20.001506805419922</c:v>
                </c:pt>
                <c:pt idx="1">
                  <c:v>23.676137924194336</c:v>
                </c:pt>
                <c:pt idx="2">
                  <c:v>27.231184005737305</c:v>
                </c:pt>
                <c:pt idx="3">
                  <c:v>30.763526916503906</c:v>
                </c:pt>
                <c:pt idx="4">
                  <c:v>34.474178314208984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A4-4A1D-B47B-C7B6ABB93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3846320"/>
        <c:axId val="1795533904"/>
      </c:scatterChart>
      <c:valAx>
        <c:axId val="174384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533904"/>
        <c:crosses val="autoZero"/>
        <c:crossBetween val="midCat"/>
      </c:valAx>
      <c:valAx>
        <c:axId val="179553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84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88900</xdr:colOff>
      <xdr:row>1</xdr:row>
      <xdr:rowOff>133350</xdr:rowOff>
    </xdr:from>
    <xdr:to>
      <xdr:col>20</xdr:col>
      <xdr:colOff>533400</xdr:colOff>
      <xdr:row>18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CE2D71-6527-4A68-B1E4-3B587BAC5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685800</xdr:colOff>
      <xdr:row>2</xdr:row>
      <xdr:rowOff>123190</xdr:rowOff>
    </xdr:from>
    <xdr:to>
      <xdr:col>12</xdr:col>
      <xdr:colOff>337820</xdr:colOff>
      <xdr:row>19</xdr:row>
      <xdr:rowOff>59690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6596A9-FE37-4E24-8265-1D9DEAC2C2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368300</xdr:colOff>
      <xdr:row>0</xdr:row>
      <xdr:rowOff>63500</xdr:rowOff>
    </xdr:from>
    <xdr:to>
      <xdr:col>16</xdr:col>
      <xdr:colOff>812800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1A2D44-6306-4B52-8159-A6D057029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63500</xdr:colOff>
      <xdr:row>0</xdr:row>
      <xdr:rowOff>152400</xdr:rowOff>
    </xdr:from>
    <xdr:to>
      <xdr:col>11</xdr:col>
      <xdr:colOff>482600</xdr:colOff>
      <xdr:row>17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9E825A-85FF-4F30-AE78-632F99C994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165100</xdr:colOff>
      <xdr:row>2</xdr:row>
      <xdr:rowOff>19050</xdr:rowOff>
    </xdr:from>
    <xdr:to>
      <xdr:col>17</xdr:col>
      <xdr:colOff>279400</xdr:colOff>
      <xdr:row>27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F9C0E6-CD6C-42AE-9327-A6382A613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19050</xdr:colOff>
      <xdr:row>1</xdr:row>
      <xdr:rowOff>158750</xdr:rowOff>
    </xdr:from>
    <xdr:to>
      <xdr:col>23</xdr:col>
      <xdr:colOff>558800</xdr:colOff>
      <xdr:row>26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0EBADD-66F3-4C9F-944F-011A1C508D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31750</xdr:colOff>
      <xdr:row>27</xdr:row>
      <xdr:rowOff>146050</xdr:rowOff>
    </xdr:from>
    <xdr:to>
      <xdr:col>23</xdr:col>
      <xdr:colOff>476250</xdr:colOff>
      <xdr:row>44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343BEF-E88F-499A-8F3A-AC7EFFCAD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8</xdr:row>
      <xdr:rowOff>69850</xdr:rowOff>
    </xdr:from>
    <xdr:to>
      <xdr:col>10</xdr:col>
      <xdr:colOff>482600</xdr:colOff>
      <xdr:row>25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A025EE-62BE-43E8-968A-482A9D11E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508000</xdr:colOff>
      <xdr:row>8</xdr:row>
      <xdr:rowOff>57150</xdr:rowOff>
    </xdr:from>
    <xdr:to>
      <xdr:col>16</xdr:col>
      <xdr:colOff>127000</xdr:colOff>
      <xdr:row>24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A1F06A-84C0-4451-8C9A-AEA99074F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165100</xdr:colOff>
      <xdr:row>8</xdr:row>
      <xdr:rowOff>57150</xdr:rowOff>
    </xdr:from>
    <xdr:to>
      <xdr:col>21</xdr:col>
      <xdr:colOff>609600</xdr:colOff>
      <xdr:row>24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D6F6B4-7152-474B-AE00-8A3E2AAC8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sk\Desktop\FLU%20PAPER\Fig.%201%20-%20Titers\Copy%20number%20raw%20data\2020_02_05_Rodrigo_qRTPCR_samples1to32_data.xlsx" TargetMode="External"/><Relationship Id="rId1" Type="http://schemas.openxmlformats.org/officeDocument/2006/relationships/externalLinkPath" Target="/Users/rsk/Desktop/FLU%20PAPER/Fig.%201%20-%20Titers/Copy%20number%20raw%20data/2020_02_05_Rodrigo_qRTPCR_samples1to32_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sk\Desktop\FLU%20PAPER\Fig.%201%20-%20Titers\Copy%20number%20raw%20data\Rodrigo_02_06_2020_qRTPCR_Samples_33to64_data.xlsx" TargetMode="External"/><Relationship Id="rId1" Type="http://schemas.openxmlformats.org/officeDocument/2006/relationships/externalLinkPath" Target="/Users/rsk/Desktop/FLU%20PAPER/Fig.%201%20-%20Titers/Copy%20number%20raw%20data/Rodrigo_02_06_2020_qRTPCR_Samples_33to64_d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sk\Desktop\FLU%20PAPER\Fig.%201%20-%20Titers\Copy%20number%20raw%20data\2020_02_10_Rodrigo_qRTPCR_samples_65to95_data.xlsx" TargetMode="External"/><Relationship Id="rId1" Type="http://schemas.openxmlformats.org/officeDocument/2006/relationships/externalLinkPath" Target="/Users/rsk/Desktop/FLU%20PAPER/Fig.%201%20-%20Titers/Copy%20number%20raw%20data/2020_02_10_Rodrigo_qRTPCR_samples_65to95_data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sk\Desktop\FLU%20PAPER\Fig.%201%20-%20Titers\Copy%20number%20raw%20data\2020_02_27_REDO_qRTPCR_Rodrigo_data.xlsx" TargetMode="External"/><Relationship Id="rId1" Type="http://schemas.openxmlformats.org/officeDocument/2006/relationships/externalLinkPath" Target="/Users/rsk/Desktop/FLU%20PAPER/Fig.%201%20-%20Titers/Copy%20number%20raw%20data/2020_02_27_REDO_qRTPCR_Rodrigo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mple Setup"/>
      <sheetName val="Copy#"/>
      <sheetName val="Results"/>
      <sheetName val="Raw Data"/>
      <sheetName val="Multicomponent Data"/>
      <sheetName val="Amplification Data"/>
    </sheetNames>
    <sheetDataSet>
      <sheetData sheetId="0" refreshError="1"/>
      <sheetData sheetId="1">
        <row r="2">
          <cell r="D2">
            <v>8.025912656953599</v>
          </cell>
          <cell r="E2">
            <v>18.837913513183594</v>
          </cell>
        </row>
        <row r="3">
          <cell r="D3">
            <v>7.0259126569535999</v>
          </cell>
          <cell r="E3">
            <v>25.188201904296875</v>
          </cell>
        </row>
        <row r="4">
          <cell r="D4">
            <v>6.0259126569535999</v>
          </cell>
          <cell r="E4">
            <v>29.996698379516602</v>
          </cell>
        </row>
        <row r="5">
          <cell r="D5">
            <v>5.0259126569535999</v>
          </cell>
          <cell r="E5">
            <v>31.10444450378418</v>
          </cell>
        </row>
        <row r="6">
          <cell r="D6">
            <v>4.0259126569535999</v>
          </cell>
          <cell r="E6">
            <v>35.555721282958984</v>
          </cell>
        </row>
        <row r="7">
          <cell r="D7">
            <v>3.0259126569535995</v>
          </cell>
        </row>
        <row r="8">
          <cell r="D8">
            <v>2.0259126569535995</v>
          </cell>
          <cell r="E8">
            <v>38.692798614501953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mple Setup"/>
      <sheetName val="Results"/>
      <sheetName val="Copy#"/>
      <sheetName val="Raw Data"/>
      <sheetName val="Multicomponent Data"/>
      <sheetName val="Amplification Data"/>
    </sheetNames>
    <sheetDataSet>
      <sheetData sheetId="0" refreshError="1"/>
      <sheetData sheetId="1" refreshError="1"/>
      <sheetData sheetId="2">
        <row r="2">
          <cell r="D2">
            <v>9.025912656953599</v>
          </cell>
          <cell r="E2">
            <v>10.830920219421387</v>
          </cell>
        </row>
        <row r="3">
          <cell r="D3">
            <v>8.025912656953599</v>
          </cell>
          <cell r="E3">
            <v>16.07171630859375</v>
          </cell>
        </row>
        <row r="4">
          <cell r="D4">
            <v>7.0259126569535999</v>
          </cell>
          <cell r="E4">
            <v>19.418052673339844</v>
          </cell>
        </row>
        <row r="5">
          <cell r="D5">
            <v>6.0259126569535999</v>
          </cell>
          <cell r="E5">
            <v>22.993682861328125</v>
          </cell>
        </row>
        <row r="6">
          <cell r="D6">
            <v>5.0259126569535999</v>
          </cell>
          <cell r="E6">
            <v>27.070867538452148</v>
          </cell>
        </row>
        <row r="7">
          <cell r="D7">
            <v>4.0259126569535999</v>
          </cell>
          <cell r="E7">
            <v>30.8297119140625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mple Setup"/>
      <sheetName val="Results"/>
      <sheetName val="Copy#"/>
      <sheetName val="Raw Data"/>
      <sheetName val="Multicomponent Data"/>
      <sheetName val="Amplification Data"/>
    </sheetNames>
    <sheetDataSet>
      <sheetData sheetId="0" refreshError="1"/>
      <sheetData sheetId="1" refreshError="1"/>
      <sheetData sheetId="2">
        <row r="2">
          <cell r="D2">
            <v>9.025912656953599</v>
          </cell>
          <cell r="E2">
            <v>15.195370674133301</v>
          </cell>
        </row>
        <row r="3">
          <cell r="D3">
            <v>8.025912656953599</v>
          </cell>
          <cell r="E3">
            <v>20.243108749389648</v>
          </cell>
        </row>
        <row r="4">
          <cell r="D4">
            <v>7.0259126569535999</v>
          </cell>
          <cell r="E4">
            <v>23.702169418334961</v>
          </cell>
        </row>
        <row r="5">
          <cell r="D5">
            <v>6.0259126569535999</v>
          </cell>
          <cell r="E5">
            <v>27.118562698364258</v>
          </cell>
        </row>
        <row r="6">
          <cell r="D6">
            <v>5.0259126569535999</v>
          </cell>
          <cell r="E6">
            <v>30.692253112792969</v>
          </cell>
        </row>
        <row r="7">
          <cell r="D7">
            <v>4.0259126569535999</v>
          </cell>
          <cell r="E7">
            <v>34.127887725830078</v>
          </cell>
        </row>
        <row r="8">
          <cell r="D8">
            <v>3.0259126569535995</v>
          </cell>
          <cell r="E8">
            <v>37.176860809326172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mple Setup"/>
      <sheetName val="Results"/>
      <sheetName val="COPY#"/>
      <sheetName val="Raw Data"/>
      <sheetName val="Multicomponent Data"/>
      <sheetName val="Amplification Data"/>
    </sheetNames>
    <sheetDataSet>
      <sheetData sheetId="0" refreshError="1"/>
      <sheetData sheetId="1" refreshError="1"/>
      <sheetData sheetId="2">
        <row r="2">
          <cell r="D2">
            <v>9.025912656953599</v>
          </cell>
          <cell r="E2">
            <v>14.838165283203125</v>
          </cell>
        </row>
        <row r="3">
          <cell r="D3">
            <v>8.025912656953599</v>
          </cell>
          <cell r="E3">
            <v>20.001506805419922</v>
          </cell>
        </row>
        <row r="4">
          <cell r="D4">
            <v>7.0259126569535999</v>
          </cell>
          <cell r="E4">
            <v>23.676137924194336</v>
          </cell>
        </row>
        <row r="5">
          <cell r="D5">
            <v>6.0259126569535999</v>
          </cell>
          <cell r="E5">
            <v>27.231184005737305</v>
          </cell>
        </row>
        <row r="6">
          <cell r="D6">
            <v>5.0259126569535999</v>
          </cell>
          <cell r="E6">
            <v>30.763526916503906</v>
          </cell>
        </row>
        <row r="7">
          <cell r="D7">
            <v>4.0259126569535999</v>
          </cell>
          <cell r="E7">
            <v>34.474178314208984</v>
          </cell>
        </row>
        <row r="8">
          <cell r="D8">
            <v>3.0259126569535995</v>
          </cell>
          <cell r="E8">
            <v>37.321903228759766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24CB7-EE95-480C-9691-879E1C357E20}">
  <dimension ref="A1:S97"/>
  <sheetViews>
    <sheetView tabSelected="1" workbookViewId="0">
      <selection activeCell="A6" sqref="A6"/>
    </sheetView>
  </sheetViews>
  <sheetFormatPr defaultColWidth="9.21875" defaultRowHeight="14.4" x14ac:dyDescent="0.3"/>
  <cols>
    <col min="1" max="1" width="43.33203125" style="15" bestFit="1" customWidth="1"/>
    <col min="2" max="2" width="8.6640625" style="62" customWidth="1"/>
    <col min="3" max="3" width="5.77734375" style="15" customWidth="1"/>
    <col min="4" max="4" width="7.21875" style="15" bestFit="1" customWidth="1"/>
    <col min="5" max="5" width="10.33203125" style="15" bestFit="1" customWidth="1"/>
    <col min="6" max="6" width="12.88671875" style="15" bestFit="1" customWidth="1"/>
    <col min="7" max="7" width="5.21875" style="15" customWidth="1"/>
    <col min="8" max="8" width="8" style="15" bestFit="1" customWidth="1"/>
    <col min="9" max="9" width="13.44140625" style="63" customWidth="1"/>
    <col min="10" max="11" width="13.21875" style="15" customWidth="1"/>
    <col min="12" max="12" width="13.21875" style="19" customWidth="1"/>
    <col min="13" max="13" width="13.109375" style="19" customWidth="1"/>
    <col min="14" max="14" width="13.109375" style="20" customWidth="1"/>
    <col min="15" max="15" width="14.77734375" style="21" customWidth="1"/>
    <col min="16" max="17" width="12.77734375" style="15" customWidth="1"/>
    <col min="18" max="21" width="9.21875" style="15"/>
    <col min="22" max="22" width="14.21875" style="15" customWidth="1"/>
    <col min="23" max="16384" width="9.21875" style="15"/>
  </cols>
  <sheetData>
    <row r="1" spans="1:16" s="9" customFormat="1" ht="18.75" customHeight="1" x14ac:dyDescent="0.3">
      <c r="A1" s="9" t="s">
        <v>225</v>
      </c>
      <c r="B1" s="9" t="s">
        <v>226</v>
      </c>
      <c r="C1" s="9" t="s">
        <v>227</v>
      </c>
      <c r="D1" s="9" t="s">
        <v>228</v>
      </c>
      <c r="E1" s="9" t="s">
        <v>229</v>
      </c>
      <c r="F1" s="9" t="s">
        <v>230</v>
      </c>
      <c r="G1" s="10" t="s">
        <v>231</v>
      </c>
      <c r="H1" s="9" t="s">
        <v>232</v>
      </c>
      <c r="I1" s="11" t="s">
        <v>233</v>
      </c>
      <c r="J1" s="9" t="s">
        <v>234</v>
      </c>
      <c r="K1" s="9" t="s">
        <v>235</v>
      </c>
      <c r="L1" s="12" t="s">
        <v>236</v>
      </c>
      <c r="M1" s="12" t="s">
        <v>237</v>
      </c>
      <c r="N1" s="13" t="s">
        <v>238</v>
      </c>
      <c r="O1" s="14" t="s">
        <v>239</v>
      </c>
      <c r="P1" s="9" t="s">
        <v>240</v>
      </c>
    </row>
    <row r="2" spans="1:16" ht="14.55" customHeight="1" x14ac:dyDescent="0.3">
      <c r="A2" s="15" t="s">
        <v>241</v>
      </c>
      <c r="B2" s="16">
        <v>8542</v>
      </c>
      <c r="C2" s="17" t="s">
        <v>242</v>
      </c>
      <c r="D2" s="17" t="s">
        <v>243</v>
      </c>
      <c r="E2" s="17" t="s">
        <v>244</v>
      </c>
      <c r="F2" s="17">
        <v>1</v>
      </c>
      <c r="G2" s="17">
        <v>1</v>
      </c>
      <c r="H2" s="17" t="s">
        <v>245</v>
      </c>
      <c r="I2" s="18">
        <v>200015.27609816424</v>
      </c>
      <c r="J2" s="15">
        <v>1</v>
      </c>
      <c r="K2" s="15" t="s">
        <v>21</v>
      </c>
      <c r="P2" s="15">
        <v>96</v>
      </c>
    </row>
    <row r="3" spans="1:16" x14ac:dyDescent="0.3">
      <c r="A3" s="15" t="s">
        <v>241</v>
      </c>
      <c r="B3" s="22">
        <v>8547</v>
      </c>
      <c r="C3" s="23" t="s">
        <v>242</v>
      </c>
      <c r="D3" s="23" t="s">
        <v>243</v>
      </c>
      <c r="E3" s="23" t="s">
        <v>244</v>
      </c>
      <c r="F3" s="23">
        <v>1</v>
      </c>
      <c r="G3" s="23">
        <v>2</v>
      </c>
      <c r="H3" s="23" t="s">
        <v>245</v>
      </c>
      <c r="I3" s="24">
        <v>111464.15555175056</v>
      </c>
      <c r="J3" s="15">
        <v>2</v>
      </c>
      <c r="K3" s="15" t="s">
        <v>39</v>
      </c>
      <c r="P3" s="15">
        <v>95</v>
      </c>
    </row>
    <row r="4" spans="1:16" x14ac:dyDescent="0.3">
      <c r="A4" s="15" t="s">
        <v>241</v>
      </c>
      <c r="B4" s="22">
        <v>8541</v>
      </c>
      <c r="C4" s="23" t="s">
        <v>242</v>
      </c>
      <c r="D4" s="23" t="s">
        <v>243</v>
      </c>
      <c r="E4" s="23" t="s">
        <v>244</v>
      </c>
      <c r="F4" s="23">
        <v>1</v>
      </c>
      <c r="G4" s="23">
        <v>3</v>
      </c>
      <c r="H4" s="23" t="s">
        <v>245</v>
      </c>
      <c r="I4" s="24">
        <v>91726.027403089392</v>
      </c>
      <c r="J4" s="15">
        <v>3</v>
      </c>
      <c r="K4" s="15" t="s">
        <v>56</v>
      </c>
      <c r="P4" s="15">
        <v>94</v>
      </c>
    </row>
    <row r="5" spans="1:16" x14ac:dyDescent="0.3">
      <c r="A5" s="15" t="s">
        <v>241</v>
      </c>
      <c r="B5" s="22">
        <v>8539</v>
      </c>
      <c r="C5" s="23" t="s">
        <v>242</v>
      </c>
      <c r="D5" s="23" t="s">
        <v>243</v>
      </c>
      <c r="E5" s="23" t="s">
        <v>244</v>
      </c>
      <c r="F5" s="23">
        <v>1</v>
      </c>
      <c r="G5" s="23">
        <v>4</v>
      </c>
      <c r="H5" s="23" t="s">
        <v>245</v>
      </c>
      <c r="I5" s="24">
        <v>83209.183842249025</v>
      </c>
      <c r="J5" s="15">
        <v>4</v>
      </c>
      <c r="K5" s="15" t="s">
        <v>73</v>
      </c>
      <c r="P5" s="15">
        <v>93</v>
      </c>
    </row>
    <row r="6" spans="1:16" x14ac:dyDescent="0.3">
      <c r="A6" s="15" t="s">
        <v>241</v>
      </c>
      <c r="B6" s="22">
        <v>8598</v>
      </c>
      <c r="C6" s="23" t="s">
        <v>246</v>
      </c>
      <c r="D6" s="23" t="s">
        <v>247</v>
      </c>
      <c r="E6" s="23" t="s">
        <v>244</v>
      </c>
      <c r="F6" s="23">
        <v>1</v>
      </c>
      <c r="G6" s="23">
        <v>1</v>
      </c>
      <c r="H6" s="23" t="s">
        <v>245</v>
      </c>
      <c r="I6" s="24">
        <v>164596.47144501781</v>
      </c>
      <c r="J6" s="15">
        <v>5</v>
      </c>
      <c r="K6" s="15" t="s">
        <v>90</v>
      </c>
      <c r="L6" s="19">
        <v>44836851.619452126</v>
      </c>
      <c r="O6" s="21" t="s">
        <v>248</v>
      </c>
      <c r="P6" s="15">
        <v>92</v>
      </c>
    </row>
    <row r="7" spans="1:16" x14ac:dyDescent="0.3">
      <c r="A7" s="15" t="s">
        <v>241</v>
      </c>
      <c r="B7" s="22">
        <v>8596</v>
      </c>
      <c r="C7" s="23" t="s">
        <v>246</v>
      </c>
      <c r="D7" s="23" t="s">
        <v>247</v>
      </c>
      <c r="E7" s="23" t="s">
        <v>244</v>
      </c>
      <c r="F7" s="23">
        <v>1</v>
      </c>
      <c r="G7" s="23">
        <v>2</v>
      </c>
      <c r="H7" s="23" t="s">
        <v>245</v>
      </c>
      <c r="I7" s="24">
        <v>62116.545372100591</v>
      </c>
      <c r="J7" s="15">
        <v>6</v>
      </c>
      <c r="K7" s="15" t="s">
        <v>107</v>
      </c>
      <c r="P7" s="15">
        <v>91</v>
      </c>
    </row>
    <row r="8" spans="1:16" x14ac:dyDescent="0.3">
      <c r="A8" s="15" t="s">
        <v>241</v>
      </c>
      <c r="B8" s="22">
        <v>8600</v>
      </c>
      <c r="C8" s="23" t="s">
        <v>246</v>
      </c>
      <c r="D8" s="23" t="s">
        <v>247</v>
      </c>
      <c r="E8" s="23" t="s">
        <v>244</v>
      </c>
      <c r="F8" s="23">
        <v>1</v>
      </c>
      <c r="G8" s="23">
        <v>3</v>
      </c>
      <c r="H8" s="23" t="s">
        <v>245</v>
      </c>
      <c r="I8" s="24">
        <v>57738.607060009956</v>
      </c>
      <c r="J8" s="15">
        <v>7</v>
      </c>
      <c r="K8" s="15" t="s">
        <v>124</v>
      </c>
      <c r="P8" s="15">
        <v>90</v>
      </c>
    </row>
    <row r="9" spans="1:16" x14ac:dyDescent="0.3">
      <c r="A9" s="15" t="s">
        <v>241</v>
      </c>
      <c r="B9" s="22">
        <v>8595</v>
      </c>
      <c r="C9" s="23" t="s">
        <v>246</v>
      </c>
      <c r="D9" s="23" t="s">
        <v>247</v>
      </c>
      <c r="E9" s="23" t="s">
        <v>244</v>
      </c>
      <c r="F9" s="23">
        <v>1</v>
      </c>
      <c r="G9" s="23">
        <v>4</v>
      </c>
      <c r="H9" s="23" t="s">
        <v>245</v>
      </c>
      <c r="I9" s="24">
        <v>34616.19737632</v>
      </c>
      <c r="J9" s="15">
        <v>8</v>
      </c>
      <c r="K9" s="15" t="s">
        <v>141</v>
      </c>
      <c r="P9" s="15">
        <v>89</v>
      </c>
    </row>
    <row r="10" spans="1:16" x14ac:dyDescent="0.3">
      <c r="A10" s="15" t="s">
        <v>241</v>
      </c>
      <c r="B10" s="22">
        <v>8278</v>
      </c>
      <c r="C10" s="23" t="s">
        <v>242</v>
      </c>
      <c r="D10" s="23" t="s">
        <v>249</v>
      </c>
      <c r="E10" s="23" t="s">
        <v>244</v>
      </c>
      <c r="F10" s="23">
        <v>1</v>
      </c>
      <c r="G10" s="23">
        <v>1</v>
      </c>
      <c r="H10" s="23" t="s">
        <v>250</v>
      </c>
      <c r="I10" s="24">
        <v>782639.35572205333</v>
      </c>
      <c r="J10" s="15">
        <v>9</v>
      </c>
      <c r="K10" s="15" t="s">
        <v>23</v>
      </c>
      <c r="P10" s="15">
        <v>88</v>
      </c>
    </row>
    <row r="11" spans="1:16" x14ac:dyDescent="0.3">
      <c r="A11" s="15" t="s">
        <v>241</v>
      </c>
      <c r="B11" s="22">
        <v>8244</v>
      </c>
      <c r="C11" s="23" t="s">
        <v>242</v>
      </c>
      <c r="D11" s="23" t="s">
        <v>249</v>
      </c>
      <c r="E11" s="23" t="s">
        <v>244</v>
      </c>
      <c r="F11" s="23">
        <v>1</v>
      </c>
      <c r="G11" s="23">
        <v>2</v>
      </c>
      <c r="H11" s="23" t="s">
        <v>250</v>
      </c>
      <c r="I11" s="24">
        <v>267933.57197204221</v>
      </c>
      <c r="J11" s="15">
        <v>10</v>
      </c>
      <c r="K11" s="15" t="s">
        <v>41</v>
      </c>
      <c r="P11" s="15">
        <v>87</v>
      </c>
    </row>
    <row r="12" spans="1:16" x14ac:dyDescent="0.3">
      <c r="A12" s="15" t="s">
        <v>241</v>
      </c>
      <c r="B12" s="22">
        <v>8235</v>
      </c>
      <c r="C12" s="23" t="s">
        <v>242</v>
      </c>
      <c r="D12" s="23" t="s">
        <v>249</v>
      </c>
      <c r="E12" s="23" t="s">
        <v>244</v>
      </c>
      <c r="F12" s="23">
        <v>1</v>
      </c>
      <c r="G12" s="23">
        <v>3</v>
      </c>
      <c r="H12" s="23" t="s">
        <v>250</v>
      </c>
      <c r="I12" s="24">
        <v>145993.23735723257</v>
      </c>
      <c r="J12" s="15">
        <v>11</v>
      </c>
      <c r="K12" s="15" t="s">
        <v>58</v>
      </c>
      <c r="P12" s="15">
        <v>86</v>
      </c>
    </row>
    <row r="13" spans="1:16" x14ac:dyDescent="0.3">
      <c r="A13" s="15" t="s">
        <v>241</v>
      </c>
      <c r="B13" s="22">
        <v>8245</v>
      </c>
      <c r="C13" s="23" t="s">
        <v>242</v>
      </c>
      <c r="D13" s="23" t="s">
        <v>249</v>
      </c>
      <c r="E13" s="23" t="s">
        <v>244</v>
      </c>
      <c r="F13" s="23">
        <v>1</v>
      </c>
      <c r="G13" s="23">
        <v>4</v>
      </c>
      <c r="H13" s="23" t="s">
        <v>250</v>
      </c>
      <c r="I13" s="24">
        <v>91726.027403089392</v>
      </c>
      <c r="J13" s="15">
        <v>12</v>
      </c>
      <c r="K13" s="15" t="s">
        <v>75</v>
      </c>
      <c r="P13" s="15">
        <v>85</v>
      </c>
    </row>
    <row r="14" spans="1:16" x14ac:dyDescent="0.3">
      <c r="A14" s="15" t="s">
        <v>241</v>
      </c>
      <c r="B14" s="22">
        <v>8327</v>
      </c>
      <c r="C14" s="23" t="s">
        <v>246</v>
      </c>
      <c r="D14" s="23" t="s">
        <v>251</v>
      </c>
      <c r="E14" s="23" t="s">
        <v>244</v>
      </c>
      <c r="F14" s="23">
        <v>1</v>
      </c>
      <c r="G14" s="23">
        <v>1</v>
      </c>
      <c r="H14" s="23" t="s">
        <v>250</v>
      </c>
      <c r="I14" s="24">
        <v>2073838.3886962051</v>
      </c>
      <c r="J14" s="15">
        <v>13</v>
      </c>
      <c r="K14" s="15" t="s">
        <v>92</v>
      </c>
      <c r="L14" s="19">
        <v>196832162.00800264</v>
      </c>
      <c r="O14" s="21" t="s">
        <v>248</v>
      </c>
      <c r="P14" s="15">
        <v>84</v>
      </c>
    </row>
    <row r="15" spans="1:16" x14ac:dyDescent="0.3">
      <c r="A15" s="15" t="s">
        <v>241</v>
      </c>
      <c r="B15" s="22">
        <v>8326</v>
      </c>
      <c r="C15" s="23" t="s">
        <v>246</v>
      </c>
      <c r="D15" s="23" t="s">
        <v>251</v>
      </c>
      <c r="E15" s="23" t="s">
        <v>244</v>
      </c>
      <c r="F15" s="23">
        <v>1</v>
      </c>
      <c r="G15" s="23">
        <v>2</v>
      </c>
      <c r="H15" s="23" t="s">
        <v>250</v>
      </c>
      <c r="I15" s="24">
        <v>463537.17942734226</v>
      </c>
      <c r="J15" s="15">
        <v>14</v>
      </c>
      <c r="K15" s="15" t="s">
        <v>109</v>
      </c>
      <c r="P15" s="15">
        <v>83</v>
      </c>
    </row>
    <row r="16" spans="1:16" x14ac:dyDescent="0.3">
      <c r="A16" s="15" t="s">
        <v>241</v>
      </c>
      <c r="B16" s="22">
        <v>8325</v>
      </c>
      <c r="C16" s="23" t="s">
        <v>246</v>
      </c>
      <c r="D16" s="23" t="s">
        <v>251</v>
      </c>
      <c r="E16" s="23" t="s">
        <v>244</v>
      </c>
      <c r="F16" s="23">
        <v>1</v>
      </c>
      <c r="G16" s="23">
        <v>3</v>
      </c>
      <c r="H16" s="23" t="s">
        <v>250</v>
      </c>
      <c r="I16" s="24">
        <v>243055.70053479919</v>
      </c>
      <c r="J16" s="15">
        <v>15</v>
      </c>
      <c r="K16" s="15" t="s">
        <v>126</v>
      </c>
      <c r="P16" s="15">
        <v>82</v>
      </c>
    </row>
    <row r="17" spans="1:17" x14ac:dyDescent="0.3">
      <c r="A17" s="15" t="s">
        <v>241</v>
      </c>
      <c r="B17" s="25">
        <v>8312</v>
      </c>
      <c r="C17" s="26" t="s">
        <v>246</v>
      </c>
      <c r="D17" s="26" t="s">
        <v>251</v>
      </c>
      <c r="E17" s="26" t="s">
        <v>244</v>
      </c>
      <c r="F17" s="26">
        <v>1</v>
      </c>
      <c r="G17" s="26">
        <v>4</v>
      </c>
      <c r="H17" s="26" t="s">
        <v>250</v>
      </c>
      <c r="I17" s="27">
        <v>200015.27609816424</v>
      </c>
      <c r="J17" s="15">
        <v>16</v>
      </c>
      <c r="K17" s="15" t="s">
        <v>143</v>
      </c>
      <c r="P17" s="15">
        <v>81</v>
      </c>
    </row>
    <row r="18" spans="1:17" ht="15" customHeight="1" x14ac:dyDescent="0.3">
      <c r="A18" s="15" t="s">
        <v>252</v>
      </c>
      <c r="B18" s="16">
        <v>9315</v>
      </c>
      <c r="C18" s="17" t="s">
        <v>246</v>
      </c>
      <c r="D18" s="17" t="s">
        <v>247</v>
      </c>
      <c r="E18" s="17" t="s">
        <v>253</v>
      </c>
      <c r="F18" s="17">
        <v>4</v>
      </c>
      <c r="G18" s="17">
        <v>1</v>
      </c>
      <c r="H18" s="17" t="s">
        <v>245</v>
      </c>
      <c r="I18" s="28"/>
      <c r="J18" s="15">
        <v>17</v>
      </c>
      <c r="K18" s="15" t="s">
        <v>24</v>
      </c>
      <c r="L18" s="19">
        <v>98693793.896396548</v>
      </c>
      <c r="O18" s="21" t="s">
        <v>248</v>
      </c>
      <c r="P18" s="15">
        <v>80</v>
      </c>
    </row>
    <row r="19" spans="1:17" x14ac:dyDescent="0.3">
      <c r="A19" s="15" t="s">
        <v>252</v>
      </c>
      <c r="B19" s="22">
        <v>9321</v>
      </c>
      <c r="C19" s="23" t="s">
        <v>246</v>
      </c>
      <c r="D19" s="23" t="s">
        <v>247</v>
      </c>
      <c r="E19" s="23" t="s">
        <v>253</v>
      </c>
      <c r="F19" s="23">
        <v>4</v>
      </c>
      <c r="G19" s="23">
        <v>2</v>
      </c>
      <c r="H19" s="23" t="s">
        <v>245</v>
      </c>
      <c r="I19" s="29"/>
      <c r="J19" s="15">
        <v>18</v>
      </c>
      <c r="K19" s="15" t="s">
        <v>42</v>
      </c>
      <c r="L19" s="19">
        <v>219923310.89788967</v>
      </c>
      <c r="O19" s="21" t="s">
        <v>248</v>
      </c>
      <c r="P19" s="15">
        <v>79</v>
      </c>
    </row>
    <row r="20" spans="1:17" x14ac:dyDescent="0.3">
      <c r="A20" s="15" t="s">
        <v>252</v>
      </c>
      <c r="B20" s="22">
        <v>9334</v>
      </c>
      <c r="C20" s="23" t="s">
        <v>246</v>
      </c>
      <c r="D20" s="23" t="s">
        <v>247</v>
      </c>
      <c r="E20" s="23" t="s">
        <v>253</v>
      </c>
      <c r="F20" s="23">
        <v>4</v>
      </c>
      <c r="G20" s="23">
        <v>3</v>
      </c>
      <c r="H20" s="23" t="s">
        <v>245</v>
      </c>
      <c r="I20" s="29"/>
      <c r="J20" s="15">
        <v>19</v>
      </c>
      <c r="K20" s="15" t="s">
        <v>59</v>
      </c>
      <c r="L20" s="19">
        <v>86563982.384888485</v>
      </c>
      <c r="O20" s="21" t="s">
        <v>248</v>
      </c>
      <c r="P20" s="15">
        <v>78</v>
      </c>
    </row>
    <row r="21" spans="1:17" x14ac:dyDescent="0.3">
      <c r="A21" s="15" t="s">
        <v>252</v>
      </c>
      <c r="B21" s="22">
        <v>9339</v>
      </c>
      <c r="C21" s="23" t="s">
        <v>246</v>
      </c>
      <c r="D21" s="23" t="s">
        <v>247</v>
      </c>
      <c r="E21" s="23" t="s">
        <v>253</v>
      </c>
      <c r="F21" s="23">
        <v>4</v>
      </c>
      <c r="G21" s="23">
        <v>4</v>
      </c>
      <c r="H21" s="23" t="s">
        <v>245</v>
      </c>
      <c r="I21" s="29"/>
      <c r="J21" s="15">
        <v>20</v>
      </c>
      <c r="K21" s="15" t="s">
        <v>76</v>
      </c>
      <c r="L21" s="19">
        <v>109618673.87978277</v>
      </c>
      <c r="O21" s="21" t="s">
        <v>248</v>
      </c>
      <c r="P21" s="15">
        <v>77</v>
      </c>
    </row>
    <row r="22" spans="1:17" x14ac:dyDescent="0.3">
      <c r="A22" s="15" t="s">
        <v>252</v>
      </c>
      <c r="B22" s="22">
        <v>9316</v>
      </c>
      <c r="C22" s="23" t="s">
        <v>246</v>
      </c>
      <c r="D22" s="23" t="s">
        <v>247</v>
      </c>
      <c r="E22" s="23" t="s">
        <v>254</v>
      </c>
      <c r="F22" s="23">
        <v>4</v>
      </c>
      <c r="G22" s="23" t="s">
        <v>255</v>
      </c>
      <c r="H22" s="23" t="s">
        <v>245</v>
      </c>
      <c r="I22" s="29"/>
      <c r="J22" s="15">
        <v>21</v>
      </c>
      <c r="K22" s="15" t="s">
        <v>93</v>
      </c>
      <c r="L22" s="19">
        <v>110079650.05780973</v>
      </c>
      <c r="O22" s="21" t="s">
        <v>248</v>
      </c>
      <c r="P22" s="15">
        <v>76</v>
      </c>
    </row>
    <row r="23" spans="1:17" x14ac:dyDescent="0.3">
      <c r="A23" s="15" t="s">
        <v>252</v>
      </c>
      <c r="B23" s="22">
        <v>9337</v>
      </c>
      <c r="C23" s="23" t="s">
        <v>246</v>
      </c>
      <c r="D23" s="23" t="s">
        <v>247</v>
      </c>
      <c r="E23" s="23" t="s">
        <v>254</v>
      </c>
      <c r="F23" s="23">
        <v>4</v>
      </c>
      <c r="G23" s="23" t="s">
        <v>256</v>
      </c>
      <c r="H23" s="23" t="s">
        <v>245</v>
      </c>
      <c r="I23" s="29"/>
      <c r="J23" s="15">
        <v>22</v>
      </c>
      <c r="K23" s="15" t="s">
        <v>110</v>
      </c>
      <c r="L23" s="19">
        <v>92754072.880754501</v>
      </c>
      <c r="O23" s="21" t="s">
        <v>248</v>
      </c>
      <c r="P23" s="15">
        <v>75</v>
      </c>
    </row>
    <row r="24" spans="1:17" x14ac:dyDescent="0.3">
      <c r="A24" s="15" t="s">
        <v>252</v>
      </c>
      <c r="B24" s="22">
        <v>9333</v>
      </c>
      <c r="C24" s="23" t="s">
        <v>246</v>
      </c>
      <c r="D24" s="23" t="s">
        <v>247</v>
      </c>
      <c r="E24" s="23" t="s">
        <v>257</v>
      </c>
      <c r="F24" s="23">
        <v>4</v>
      </c>
      <c r="G24" s="23" t="s">
        <v>257</v>
      </c>
      <c r="H24" s="23" t="s">
        <v>245</v>
      </c>
      <c r="I24" s="29"/>
      <c r="J24" s="15">
        <v>23</v>
      </c>
      <c r="K24" s="15" t="s">
        <v>127</v>
      </c>
      <c r="L24" s="19">
        <v>321517642.60833836</v>
      </c>
      <c r="O24" s="21" t="s">
        <v>248</v>
      </c>
      <c r="P24" s="15">
        <v>74</v>
      </c>
    </row>
    <row r="25" spans="1:17" x14ac:dyDescent="0.3">
      <c r="A25" s="15" t="s">
        <v>252</v>
      </c>
      <c r="B25" s="22">
        <v>9758</v>
      </c>
      <c r="C25" s="23" t="s">
        <v>246</v>
      </c>
      <c r="D25" s="23" t="s">
        <v>247</v>
      </c>
      <c r="E25" s="23" t="s">
        <v>253</v>
      </c>
      <c r="F25" s="23">
        <v>7</v>
      </c>
      <c r="G25" s="23">
        <v>1</v>
      </c>
      <c r="H25" s="23" t="s">
        <v>245</v>
      </c>
      <c r="I25" s="29"/>
      <c r="J25" s="15">
        <v>24</v>
      </c>
      <c r="K25" s="15" t="s">
        <v>144</v>
      </c>
      <c r="L25" s="19">
        <v>183534673.24003839</v>
      </c>
      <c r="O25" s="21" t="s">
        <v>248</v>
      </c>
      <c r="P25" s="15">
        <v>73</v>
      </c>
    </row>
    <row r="26" spans="1:17" x14ac:dyDescent="0.3">
      <c r="A26" s="15" t="s">
        <v>252</v>
      </c>
      <c r="B26" s="22">
        <v>9761</v>
      </c>
      <c r="C26" s="23" t="s">
        <v>246</v>
      </c>
      <c r="D26" s="23" t="s">
        <v>247</v>
      </c>
      <c r="E26" s="23" t="s">
        <v>253</v>
      </c>
      <c r="F26" s="23">
        <v>7</v>
      </c>
      <c r="G26" s="23">
        <v>2</v>
      </c>
      <c r="H26" s="23" t="s">
        <v>245</v>
      </c>
      <c r="I26" s="29"/>
      <c r="J26" s="15">
        <v>25</v>
      </c>
      <c r="K26" s="15" t="s">
        <v>25</v>
      </c>
      <c r="L26" s="19">
        <v>196152006.35025468</v>
      </c>
      <c r="O26" s="21" t="s">
        <v>248</v>
      </c>
      <c r="P26" s="15">
        <v>72</v>
      </c>
    </row>
    <row r="27" spans="1:17" x14ac:dyDescent="0.3">
      <c r="A27" s="15" t="s">
        <v>252</v>
      </c>
      <c r="B27" s="22">
        <v>9767</v>
      </c>
      <c r="C27" s="23" t="s">
        <v>246</v>
      </c>
      <c r="D27" s="23" t="s">
        <v>247</v>
      </c>
      <c r="E27" s="23" t="s">
        <v>253</v>
      </c>
      <c r="F27" s="23">
        <v>7</v>
      </c>
      <c r="G27" s="23">
        <v>3</v>
      </c>
      <c r="H27" s="23" t="s">
        <v>245</v>
      </c>
      <c r="I27" s="29"/>
      <c r="J27" s="15">
        <v>26</v>
      </c>
      <c r="K27" s="15" t="s">
        <v>43</v>
      </c>
      <c r="L27" s="19">
        <v>214509168.13577354</v>
      </c>
      <c r="O27" s="21" t="s">
        <v>248</v>
      </c>
      <c r="P27" s="15">
        <v>71</v>
      </c>
    </row>
    <row r="28" spans="1:17" x14ac:dyDescent="0.3">
      <c r="A28" s="15" t="s">
        <v>252</v>
      </c>
      <c r="B28" s="22">
        <v>9873</v>
      </c>
      <c r="C28" s="23" t="s">
        <v>246</v>
      </c>
      <c r="D28" s="23" t="s">
        <v>247</v>
      </c>
      <c r="E28" s="23" t="s">
        <v>253</v>
      </c>
      <c r="F28" s="23">
        <v>7</v>
      </c>
      <c r="G28" s="23">
        <v>4</v>
      </c>
      <c r="H28" s="23" t="s">
        <v>245</v>
      </c>
      <c r="I28" s="29"/>
      <c r="J28" s="15">
        <v>27</v>
      </c>
      <c r="K28" s="15" t="s">
        <v>60</v>
      </c>
      <c r="L28" s="19">
        <v>290413.27898586908</v>
      </c>
      <c r="O28" s="21" t="s">
        <v>248</v>
      </c>
      <c r="P28" s="15">
        <v>70</v>
      </c>
    </row>
    <row r="29" spans="1:17" x14ac:dyDescent="0.3">
      <c r="A29" s="15" t="s">
        <v>252</v>
      </c>
      <c r="B29" s="22">
        <v>9759</v>
      </c>
      <c r="C29" s="23" t="s">
        <v>246</v>
      </c>
      <c r="D29" s="23" t="s">
        <v>247</v>
      </c>
      <c r="E29" s="23" t="s">
        <v>254</v>
      </c>
      <c r="F29" s="23">
        <v>7</v>
      </c>
      <c r="G29" s="23" t="s">
        <v>255</v>
      </c>
      <c r="H29" s="23" t="s">
        <v>245</v>
      </c>
      <c r="I29" s="29"/>
      <c r="J29" s="15">
        <v>28</v>
      </c>
      <c r="K29" s="15" t="s">
        <v>77</v>
      </c>
      <c r="L29" s="19">
        <v>179383732.40664619</v>
      </c>
      <c r="O29" s="21" t="s">
        <v>248</v>
      </c>
      <c r="P29" s="15">
        <v>69</v>
      </c>
    </row>
    <row r="30" spans="1:17" x14ac:dyDescent="0.3">
      <c r="A30" s="15" t="s">
        <v>252</v>
      </c>
      <c r="B30" s="22">
        <v>9603</v>
      </c>
      <c r="C30" s="23" t="s">
        <v>246</v>
      </c>
      <c r="D30" s="23" t="s">
        <v>247</v>
      </c>
      <c r="E30" s="23" t="s">
        <v>254</v>
      </c>
      <c r="F30" s="23">
        <v>7</v>
      </c>
      <c r="G30" s="23" t="s">
        <v>256</v>
      </c>
      <c r="H30" s="23" t="s">
        <v>245</v>
      </c>
      <c r="I30" s="29"/>
      <c r="J30" s="15">
        <v>29</v>
      </c>
      <c r="K30" s="15" t="s">
        <v>94</v>
      </c>
      <c r="L30" s="30">
        <v>91230572.575360194</v>
      </c>
      <c r="O30" s="21" t="s">
        <v>248</v>
      </c>
      <c r="P30" s="15">
        <v>68</v>
      </c>
    </row>
    <row r="31" spans="1:17" x14ac:dyDescent="0.3">
      <c r="A31" s="15" t="s">
        <v>258</v>
      </c>
      <c r="B31" s="31">
        <v>9293</v>
      </c>
      <c r="C31" s="26" t="s">
        <v>246</v>
      </c>
      <c r="D31" s="26" t="s">
        <v>251</v>
      </c>
      <c r="E31" s="26" t="s">
        <v>253</v>
      </c>
      <c r="F31" s="26">
        <v>4</v>
      </c>
      <c r="G31" s="26">
        <v>1</v>
      </c>
      <c r="H31" s="26" t="s">
        <v>250</v>
      </c>
      <c r="I31" s="32"/>
      <c r="J31" s="33">
        <v>30</v>
      </c>
      <c r="K31" s="15" t="s">
        <v>111</v>
      </c>
      <c r="L31" s="30">
        <v>93696710.154187754</v>
      </c>
      <c r="M31" s="34"/>
      <c r="O31" s="21" t="s">
        <v>248</v>
      </c>
      <c r="P31" s="33">
        <v>67</v>
      </c>
      <c r="Q31" s="33" t="s">
        <v>259</v>
      </c>
    </row>
    <row r="32" spans="1:17" ht="15" customHeight="1" x14ac:dyDescent="0.3">
      <c r="A32" s="15" t="s">
        <v>252</v>
      </c>
      <c r="B32" s="35">
        <v>9750</v>
      </c>
      <c r="C32" s="17" t="s">
        <v>246</v>
      </c>
      <c r="D32" s="17" t="s">
        <v>247</v>
      </c>
      <c r="E32" s="17" t="s">
        <v>257</v>
      </c>
      <c r="F32" s="17">
        <v>7</v>
      </c>
      <c r="G32" s="17" t="s">
        <v>257</v>
      </c>
      <c r="H32" s="17" t="s">
        <v>245</v>
      </c>
      <c r="I32" s="28"/>
      <c r="J32" s="33">
        <v>31</v>
      </c>
      <c r="K32" s="15" t="s">
        <v>128</v>
      </c>
      <c r="L32" s="30">
        <v>413972202.24359</v>
      </c>
      <c r="M32" s="34"/>
      <c r="O32" s="21" t="s">
        <v>248</v>
      </c>
      <c r="P32" s="33">
        <v>66</v>
      </c>
      <c r="Q32" s="33" t="s">
        <v>259</v>
      </c>
    </row>
    <row r="33" spans="1:17" x14ac:dyDescent="0.3">
      <c r="A33" s="15" t="s">
        <v>258</v>
      </c>
      <c r="B33" s="22">
        <v>9296</v>
      </c>
      <c r="C33" s="23" t="s">
        <v>246</v>
      </c>
      <c r="D33" s="23" t="s">
        <v>251</v>
      </c>
      <c r="E33" s="23" t="s">
        <v>253</v>
      </c>
      <c r="F33" s="23">
        <v>4</v>
      </c>
      <c r="G33" s="23">
        <v>2</v>
      </c>
      <c r="H33" s="23" t="s">
        <v>250</v>
      </c>
      <c r="I33" s="29"/>
      <c r="J33" s="15">
        <v>32</v>
      </c>
      <c r="K33" s="15" t="s">
        <v>145</v>
      </c>
      <c r="L33" s="30">
        <v>87977592.778663933</v>
      </c>
      <c r="O33" s="21" t="s">
        <v>248</v>
      </c>
      <c r="P33" s="15">
        <v>65</v>
      </c>
    </row>
    <row r="34" spans="1:17" x14ac:dyDescent="0.3">
      <c r="A34" s="15" t="s">
        <v>258</v>
      </c>
      <c r="B34" s="22">
        <v>9286</v>
      </c>
      <c r="C34" s="23" t="s">
        <v>246</v>
      </c>
      <c r="D34" s="23" t="s">
        <v>251</v>
      </c>
      <c r="E34" s="23" t="s">
        <v>253</v>
      </c>
      <c r="F34" s="23">
        <v>4</v>
      </c>
      <c r="G34" s="23">
        <v>3</v>
      </c>
      <c r="H34" s="23" t="s">
        <v>250</v>
      </c>
      <c r="I34" s="29"/>
      <c r="J34" s="36">
        <v>33</v>
      </c>
      <c r="K34" s="15" t="s">
        <v>27</v>
      </c>
      <c r="L34" s="37">
        <v>68608665.549410567</v>
      </c>
      <c r="M34" s="37">
        <v>18999856.332481422</v>
      </c>
      <c r="N34" s="38">
        <f>L34/M34</f>
        <v>3.6110097018007363</v>
      </c>
      <c r="O34" s="21" t="s">
        <v>248</v>
      </c>
      <c r="P34" s="15">
        <v>64</v>
      </c>
    </row>
    <row r="35" spans="1:17" x14ac:dyDescent="0.3">
      <c r="A35" s="15" t="s">
        <v>258</v>
      </c>
      <c r="B35" s="22">
        <v>9459</v>
      </c>
      <c r="C35" s="23" t="s">
        <v>246</v>
      </c>
      <c r="D35" s="23" t="s">
        <v>251</v>
      </c>
      <c r="E35" s="23" t="s">
        <v>253</v>
      </c>
      <c r="F35" s="23">
        <v>4</v>
      </c>
      <c r="G35" s="23">
        <v>4</v>
      </c>
      <c r="H35" s="23" t="s">
        <v>250</v>
      </c>
      <c r="I35" s="29"/>
      <c r="J35" s="36">
        <v>34</v>
      </c>
      <c r="K35" s="15" t="s">
        <v>45</v>
      </c>
      <c r="L35" s="30">
        <v>566963.09298766614</v>
      </c>
      <c r="M35" s="30"/>
      <c r="N35" s="38"/>
      <c r="P35" s="15">
        <v>63</v>
      </c>
    </row>
    <row r="36" spans="1:17" x14ac:dyDescent="0.3">
      <c r="A36" s="15" t="s">
        <v>258</v>
      </c>
      <c r="B36" s="22">
        <v>9297</v>
      </c>
      <c r="C36" s="23" t="s">
        <v>246</v>
      </c>
      <c r="D36" s="23" t="s">
        <v>251</v>
      </c>
      <c r="E36" s="23" t="s">
        <v>254</v>
      </c>
      <c r="F36" s="23">
        <v>4</v>
      </c>
      <c r="G36" s="23" t="s">
        <v>255</v>
      </c>
      <c r="H36" s="23" t="s">
        <v>250</v>
      </c>
      <c r="I36" s="29"/>
      <c r="J36" s="36">
        <v>35</v>
      </c>
      <c r="K36" s="15" t="s">
        <v>62</v>
      </c>
      <c r="L36" s="37">
        <v>73064045.410586521</v>
      </c>
      <c r="M36" s="37">
        <v>20556285.737165947</v>
      </c>
      <c r="N36" s="38">
        <f>L36/M36</f>
        <v>3.554340815494994</v>
      </c>
      <c r="O36" s="21" t="s">
        <v>248</v>
      </c>
      <c r="P36" s="15">
        <v>62</v>
      </c>
    </row>
    <row r="37" spans="1:17" x14ac:dyDescent="0.3">
      <c r="A37" s="15" t="s">
        <v>258</v>
      </c>
      <c r="B37" s="22">
        <v>9287</v>
      </c>
      <c r="C37" s="23" t="s">
        <v>246</v>
      </c>
      <c r="D37" s="23" t="s">
        <v>251</v>
      </c>
      <c r="E37" s="23" t="s">
        <v>254</v>
      </c>
      <c r="F37" s="23">
        <v>4</v>
      </c>
      <c r="G37" s="23" t="s">
        <v>256</v>
      </c>
      <c r="H37" s="23" t="s">
        <v>250</v>
      </c>
      <c r="I37" s="29"/>
      <c r="J37" s="36">
        <v>36</v>
      </c>
      <c r="K37" s="15" t="s">
        <v>79</v>
      </c>
      <c r="L37" s="37">
        <v>93623992.385854483</v>
      </c>
      <c r="M37" s="37">
        <v>19614654.3742982</v>
      </c>
      <c r="N37" s="38">
        <f>L37/M37</f>
        <v>4.7731655424188064</v>
      </c>
      <c r="O37" s="21" t="s">
        <v>248</v>
      </c>
      <c r="P37" s="15">
        <v>61</v>
      </c>
    </row>
    <row r="38" spans="1:17" x14ac:dyDescent="0.3">
      <c r="A38" s="15" t="s">
        <v>258</v>
      </c>
      <c r="B38" s="22">
        <v>9045</v>
      </c>
      <c r="C38" s="23" t="s">
        <v>246</v>
      </c>
      <c r="D38" s="23" t="s">
        <v>251</v>
      </c>
      <c r="E38" s="23" t="s">
        <v>257</v>
      </c>
      <c r="F38" s="23">
        <v>4</v>
      </c>
      <c r="G38" s="23" t="s">
        <v>257</v>
      </c>
      <c r="H38" s="23" t="s">
        <v>250</v>
      </c>
      <c r="I38" s="29"/>
      <c r="J38" s="36">
        <v>37</v>
      </c>
      <c r="K38" s="15" t="s">
        <v>96</v>
      </c>
      <c r="L38" s="37">
        <v>203426315.22738996</v>
      </c>
      <c r="M38" s="37">
        <v>58291138.035952225</v>
      </c>
      <c r="N38" s="38">
        <f>L38/M38</f>
        <v>3.4898326243334399</v>
      </c>
      <c r="O38" s="21" t="s">
        <v>248</v>
      </c>
      <c r="P38" s="15">
        <v>60</v>
      </c>
    </row>
    <row r="39" spans="1:17" x14ac:dyDescent="0.3">
      <c r="A39" s="15" t="s">
        <v>258</v>
      </c>
      <c r="B39" s="22">
        <v>9740</v>
      </c>
      <c r="C39" s="23" t="s">
        <v>246</v>
      </c>
      <c r="D39" s="23" t="s">
        <v>251</v>
      </c>
      <c r="E39" s="23" t="s">
        <v>253</v>
      </c>
      <c r="F39" s="23">
        <v>7</v>
      </c>
      <c r="G39" s="23">
        <v>1</v>
      </c>
      <c r="H39" s="23" t="s">
        <v>250</v>
      </c>
      <c r="I39" s="29"/>
      <c r="J39" s="36">
        <v>38</v>
      </c>
      <c r="K39" s="15" t="s">
        <v>113</v>
      </c>
      <c r="L39" s="30">
        <v>1719082.9118169956</v>
      </c>
      <c r="M39" s="30"/>
      <c r="N39" s="38"/>
      <c r="P39" s="15">
        <v>59</v>
      </c>
    </row>
    <row r="40" spans="1:17" x14ac:dyDescent="0.3">
      <c r="A40" s="15" t="s">
        <v>258</v>
      </c>
      <c r="B40" s="39">
        <v>9739</v>
      </c>
      <c r="C40" s="23" t="s">
        <v>246</v>
      </c>
      <c r="D40" s="23" t="s">
        <v>251</v>
      </c>
      <c r="E40" s="23" t="s">
        <v>253</v>
      </c>
      <c r="F40" s="23">
        <v>7</v>
      </c>
      <c r="G40" s="23">
        <v>2</v>
      </c>
      <c r="H40" s="23" t="s">
        <v>250</v>
      </c>
      <c r="I40" s="29"/>
      <c r="J40" s="36">
        <v>39</v>
      </c>
      <c r="K40" s="15" t="s">
        <v>130</v>
      </c>
      <c r="L40" s="37">
        <v>140854812.92412814</v>
      </c>
      <c r="M40" s="37">
        <v>50883770.650732704</v>
      </c>
      <c r="N40" s="38">
        <f>L40/M40</f>
        <v>2.768167750203864</v>
      </c>
      <c r="O40" s="21" t="s">
        <v>248</v>
      </c>
      <c r="P40" s="15">
        <v>58</v>
      </c>
      <c r="Q40" s="40"/>
    </row>
    <row r="41" spans="1:17" x14ac:dyDescent="0.3">
      <c r="A41" s="15" t="s">
        <v>258</v>
      </c>
      <c r="B41" s="39">
        <v>9940</v>
      </c>
      <c r="C41" s="23" t="s">
        <v>246</v>
      </c>
      <c r="D41" s="23" t="s">
        <v>251</v>
      </c>
      <c r="E41" s="23" t="s">
        <v>253</v>
      </c>
      <c r="F41" s="23">
        <v>7</v>
      </c>
      <c r="G41" s="23">
        <v>3</v>
      </c>
      <c r="H41" s="23" t="s">
        <v>250</v>
      </c>
      <c r="I41" s="29"/>
      <c r="J41" s="36">
        <v>40</v>
      </c>
      <c r="K41" s="15" t="s">
        <v>147</v>
      </c>
      <c r="L41" s="30">
        <v>8995816.2471251097</v>
      </c>
      <c r="M41" s="30"/>
      <c r="N41" s="38"/>
      <c r="P41" s="15">
        <v>57</v>
      </c>
      <c r="Q41" s="40"/>
    </row>
    <row r="42" spans="1:17" x14ac:dyDescent="0.3">
      <c r="A42" s="15" t="s">
        <v>258</v>
      </c>
      <c r="B42" s="39">
        <v>9945</v>
      </c>
      <c r="C42" s="23" t="s">
        <v>246</v>
      </c>
      <c r="D42" s="23" t="s">
        <v>251</v>
      </c>
      <c r="E42" s="23" t="s">
        <v>253</v>
      </c>
      <c r="F42" s="23">
        <v>7</v>
      </c>
      <c r="G42" s="23">
        <v>4</v>
      </c>
      <c r="H42" s="23" t="s">
        <v>250</v>
      </c>
      <c r="I42" s="29"/>
      <c r="J42" s="36">
        <v>41</v>
      </c>
      <c r="K42" s="15" t="s">
        <v>28</v>
      </c>
      <c r="L42" s="30">
        <v>3131630.2576436186</v>
      </c>
      <c r="M42" s="30"/>
      <c r="N42" s="38"/>
      <c r="P42" s="15">
        <v>56</v>
      </c>
    </row>
    <row r="43" spans="1:17" x14ac:dyDescent="0.3">
      <c r="A43" s="15" t="s">
        <v>258</v>
      </c>
      <c r="B43" s="39">
        <v>9737</v>
      </c>
      <c r="C43" s="23" t="s">
        <v>246</v>
      </c>
      <c r="D43" s="23" t="s">
        <v>251</v>
      </c>
      <c r="E43" s="23" t="s">
        <v>254</v>
      </c>
      <c r="F43" s="23">
        <v>7</v>
      </c>
      <c r="G43" s="23" t="s">
        <v>255</v>
      </c>
      <c r="H43" s="23" t="s">
        <v>250</v>
      </c>
      <c r="I43" s="29"/>
      <c r="J43" s="36">
        <v>42</v>
      </c>
      <c r="K43" s="15" t="s">
        <v>46</v>
      </c>
      <c r="L43" s="30">
        <v>17353346.384355675</v>
      </c>
      <c r="M43" s="30"/>
      <c r="N43" s="38"/>
      <c r="P43" s="15">
        <v>55</v>
      </c>
      <c r="Q43" s="40"/>
    </row>
    <row r="44" spans="1:17" x14ac:dyDescent="0.3">
      <c r="A44" s="15" t="s">
        <v>258</v>
      </c>
      <c r="B44" s="39">
        <v>9943</v>
      </c>
      <c r="C44" s="23" t="s">
        <v>246</v>
      </c>
      <c r="D44" s="23" t="s">
        <v>251</v>
      </c>
      <c r="E44" s="23" t="s">
        <v>254</v>
      </c>
      <c r="F44" s="23">
        <v>7</v>
      </c>
      <c r="G44" s="23" t="s">
        <v>256</v>
      </c>
      <c r="H44" s="23" t="s">
        <v>250</v>
      </c>
      <c r="I44" s="29"/>
      <c r="J44" s="36">
        <v>43</v>
      </c>
      <c r="K44" s="15" t="s">
        <v>63</v>
      </c>
      <c r="L44" s="30">
        <v>14614749.677315911</v>
      </c>
      <c r="M44" s="30"/>
      <c r="N44" s="38"/>
      <c r="P44" s="15">
        <v>54</v>
      </c>
    </row>
    <row r="45" spans="1:17" x14ac:dyDescent="0.3">
      <c r="A45" s="15" t="s">
        <v>258</v>
      </c>
      <c r="B45" s="25">
        <v>9738</v>
      </c>
      <c r="C45" s="26" t="s">
        <v>246</v>
      </c>
      <c r="D45" s="26" t="s">
        <v>251</v>
      </c>
      <c r="E45" s="26" t="s">
        <v>257</v>
      </c>
      <c r="F45" s="26">
        <v>7</v>
      </c>
      <c r="G45" s="26" t="s">
        <v>257</v>
      </c>
      <c r="H45" s="26" t="s">
        <v>250</v>
      </c>
      <c r="I45" s="32"/>
      <c r="J45" s="36">
        <v>44</v>
      </c>
      <c r="K45" s="15" t="s">
        <v>80</v>
      </c>
      <c r="L45" s="37">
        <v>103399853.82867837</v>
      </c>
      <c r="M45" s="37">
        <v>27944621.171537507</v>
      </c>
      <c r="N45" s="38">
        <f>L45/M45</f>
        <v>3.7001701756470555</v>
      </c>
      <c r="O45" s="21" t="s">
        <v>248</v>
      </c>
      <c r="P45" s="15">
        <v>53</v>
      </c>
    </row>
    <row r="46" spans="1:17" ht="14.55" customHeight="1" x14ac:dyDescent="0.3">
      <c r="A46" s="15" t="s">
        <v>260</v>
      </c>
      <c r="B46" s="16">
        <v>9515</v>
      </c>
      <c r="C46" s="17" t="s">
        <v>242</v>
      </c>
      <c r="D46" s="17" t="s">
        <v>243</v>
      </c>
      <c r="E46" s="17" t="s">
        <v>253</v>
      </c>
      <c r="F46" s="17">
        <v>10</v>
      </c>
      <c r="G46" s="17">
        <v>1</v>
      </c>
      <c r="H46" s="17" t="s">
        <v>245</v>
      </c>
      <c r="I46" s="28">
        <v>1155704.9504227701</v>
      </c>
      <c r="J46" s="36">
        <v>45</v>
      </c>
      <c r="K46" s="15" t="s">
        <v>97</v>
      </c>
      <c r="L46" s="19">
        <v>359402115.18975842</v>
      </c>
      <c r="M46" s="37">
        <v>101877577.68482445</v>
      </c>
      <c r="N46" s="38">
        <f>L46/M46</f>
        <v>3.5277842618287387</v>
      </c>
      <c r="O46" s="21" t="s">
        <v>248</v>
      </c>
      <c r="P46" s="15">
        <v>52</v>
      </c>
    </row>
    <row r="47" spans="1:17" x14ac:dyDescent="0.3">
      <c r="A47" s="15" t="s">
        <v>260</v>
      </c>
      <c r="B47" s="22">
        <v>9518</v>
      </c>
      <c r="C47" s="23" t="s">
        <v>242</v>
      </c>
      <c r="D47" s="23" t="s">
        <v>243</v>
      </c>
      <c r="E47" s="23" t="s">
        <v>253</v>
      </c>
      <c r="F47" s="23">
        <v>10</v>
      </c>
      <c r="G47" s="23">
        <v>2</v>
      </c>
      <c r="H47" s="23" t="s">
        <v>245</v>
      </c>
      <c r="I47" s="29">
        <v>530000.63805295713</v>
      </c>
      <c r="J47" s="36">
        <v>46</v>
      </c>
      <c r="K47" s="15" t="s">
        <v>114</v>
      </c>
      <c r="L47" s="30">
        <v>16947634.883876238</v>
      </c>
      <c r="M47" s="30"/>
      <c r="N47" s="38"/>
      <c r="P47" s="15">
        <v>51</v>
      </c>
    </row>
    <row r="48" spans="1:17" x14ac:dyDescent="0.3">
      <c r="A48" s="15" t="s">
        <v>260</v>
      </c>
      <c r="B48" s="22">
        <v>9500</v>
      </c>
      <c r="C48" s="23" t="s">
        <v>242</v>
      </c>
      <c r="D48" s="23" t="s">
        <v>243</v>
      </c>
      <c r="E48" s="23" t="s">
        <v>253</v>
      </c>
      <c r="F48" s="23">
        <v>10</v>
      </c>
      <c r="G48" s="23">
        <v>3</v>
      </c>
      <c r="H48" s="23" t="s">
        <v>245</v>
      </c>
      <c r="I48" s="29">
        <v>644049.18903608865</v>
      </c>
      <c r="J48" s="36">
        <v>47</v>
      </c>
      <c r="K48" s="15" t="s">
        <v>131</v>
      </c>
      <c r="L48" s="37">
        <v>134764960.20018557</v>
      </c>
      <c r="M48" s="37">
        <v>45236622.009238608</v>
      </c>
      <c r="N48" s="38">
        <f>L48/M48</f>
        <v>2.9791119277797251</v>
      </c>
      <c r="O48" s="21" t="s">
        <v>248</v>
      </c>
      <c r="P48" s="15">
        <v>50</v>
      </c>
    </row>
    <row r="49" spans="1:18" x14ac:dyDescent="0.3">
      <c r="A49" s="15" t="s">
        <v>260</v>
      </c>
      <c r="B49" s="22">
        <v>9536</v>
      </c>
      <c r="C49" s="23" t="s">
        <v>242</v>
      </c>
      <c r="D49" s="23" t="s">
        <v>243</v>
      </c>
      <c r="E49" s="23" t="s">
        <v>253</v>
      </c>
      <c r="F49" s="23">
        <v>10</v>
      </c>
      <c r="G49" s="23">
        <v>4</v>
      </c>
      <c r="H49" s="23" t="s">
        <v>245</v>
      </c>
      <c r="I49" s="29">
        <v>1155704.9504227701</v>
      </c>
      <c r="J49" s="36">
        <v>48</v>
      </c>
      <c r="K49" s="15" t="s">
        <v>148</v>
      </c>
      <c r="L49" s="37">
        <v>272953587.82720298</v>
      </c>
      <c r="M49" s="37">
        <v>87393730.176885486</v>
      </c>
      <c r="N49" s="38">
        <f>L49/M49</f>
        <v>3.1232628161624767</v>
      </c>
      <c r="O49" s="21" t="s">
        <v>248</v>
      </c>
      <c r="P49" s="15">
        <v>49</v>
      </c>
    </row>
    <row r="50" spans="1:18" x14ac:dyDescent="0.3">
      <c r="A50" s="15" t="s">
        <v>260</v>
      </c>
      <c r="B50" s="22">
        <v>9516</v>
      </c>
      <c r="C50" s="23" t="s">
        <v>242</v>
      </c>
      <c r="D50" s="23" t="s">
        <v>243</v>
      </c>
      <c r="E50" s="23" t="s">
        <v>254</v>
      </c>
      <c r="F50" s="23">
        <v>10</v>
      </c>
      <c r="G50" s="23" t="s">
        <v>255</v>
      </c>
      <c r="H50" s="23" t="s">
        <v>245</v>
      </c>
      <c r="I50" s="29">
        <v>530000.63805295713</v>
      </c>
      <c r="J50" s="36">
        <v>49</v>
      </c>
      <c r="K50" s="15" t="s">
        <v>30</v>
      </c>
      <c r="L50" s="37">
        <v>110149574.33918345</v>
      </c>
      <c r="M50" s="37">
        <v>36282868.279182419</v>
      </c>
      <c r="N50" s="38">
        <f>L50/M50</f>
        <v>3.035856302528944</v>
      </c>
      <c r="O50" s="21" t="s">
        <v>248</v>
      </c>
      <c r="P50" s="15">
        <v>48</v>
      </c>
    </row>
    <row r="51" spans="1:18" x14ac:dyDescent="0.3">
      <c r="A51" s="15" t="s">
        <v>260</v>
      </c>
      <c r="B51" s="22">
        <v>9537</v>
      </c>
      <c r="C51" s="23" t="s">
        <v>242</v>
      </c>
      <c r="D51" s="23" t="s">
        <v>243</v>
      </c>
      <c r="E51" s="23" t="s">
        <v>254</v>
      </c>
      <c r="F51" s="23">
        <v>10</v>
      </c>
      <c r="G51" s="23" t="s">
        <v>256</v>
      </c>
      <c r="H51" s="23" t="s">
        <v>245</v>
      </c>
      <c r="I51" s="29">
        <v>530000.63805295713</v>
      </c>
      <c r="J51" s="36">
        <v>50</v>
      </c>
      <c r="K51" s="15" t="s">
        <v>48</v>
      </c>
      <c r="L51" s="37">
        <v>315453649.12903661</v>
      </c>
      <c r="M51" s="37">
        <v>92196078.000250489</v>
      </c>
      <c r="N51" s="38">
        <f>L51/M51</f>
        <v>3.4215517185902371</v>
      </c>
      <c r="O51" s="21" t="s">
        <v>248</v>
      </c>
      <c r="P51" s="15">
        <v>47</v>
      </c>
    </row>
    <row r="52" spans="1:18" x14ac:dyDescent="0.3">
      <c r="A52" s="15" t="s">
        <v>260</v>
      </c>
      <c r="B52" s="22">
        <v>9517</v>
      </c>
      <c r="C52" s="23" t="s">
        <v>242</v>
      </c>
      <c r="D52" s="23" t="s">
        <v>243</v>
      </c>
      <c r="E52" s="23" t="s">
        <v>257</v>
      </c>
      <c r="F52" s="23">
        <v>10</v>
      </c>
      <c r="G52" s="23" t="s">
        <v>257</v>
      </c>
      <c r="H52" s="23" t="s">
        <v>245</v>
      </c>
      <c r="I52" s="29">
        <v>2520098.725425011</v>
      </c>
      <c r="J52" s="36">
        <v>51</v>
      </c>
      <c r="K52" s="15" t="s">
        <v>65</v>
      </c>
      <c r="L52" s="37">
        <v>248015562.36833915</v>
      </c>
      <c r="M52" s="37">
        <v>74020640.075141057</v>
      </c>
      <c r="N52" s="38">
        <f>L52/M52</f>
        <v>3.3506270969363339</v>
      </c>
      <c r="O52" s="21" t="s">
        <v>248</v>
      </c>
      <c r="P52" s="15">
        <v>46</v>
      </c>
    </row>
    <row r="53" spans="1:18" x14ac:dyDescent="0.3">
      <c r="A53" s="15" t="s">
        <v>260</v>
      </c>
      <c r="B53" s="22">
        <v>9768</v>
      </c>
      <c r="C53" s="23" t="s">
        <v>246</v>
      </c>
      <c r="D53" s="23" t="s">
        <v>247</v>
      </c>
      <c r="E53" s="23" t="s">
        <v>253</v>
      </c>
      <c r="F53" s="23">
        <v>10</v>
      </c>
      <c r="G53" s="23">
        <v>1</v>
      </c>
      <c r="H53" s="23" t="s">
        <v>245</v>
      </c>
      <c r="I53" s="41">
        <v>234419.67954052615</v>
      </c>
      <c r="J53" s="36">
        <v>52</v>
      </c>
      <c r="K53" s="15" t="s">
        <v>82</v>
      </c>
      <c r="L53" s="30">
        <v>3791373.1671207859</v>
      </c>
      <c r="M53" s="30"/>
      <c r="N53" s="38"/>
      <c r="P53" s="15">
        <v>45</v>
      </c>
    </row>
    <row r="54" spans="1:18" x14ac:dyDescent="0.3">
      <c r="A54" s="15" t="s">
        <v>260</v>
      </c>
      <c r="B54" s="22">
        <v>9773</v>
      </c>
      <c r="C54" s="23" t="s">
        <v>246</v>
      </c>
      <c r="D54" s="23" t="s">
        <v>247</v>
      </c>
      <c r="E54" s="23" t="s">
        <v>253</v>
      </c>
      <c r="F54" s="23">
        <v>10</v>
      </c>
      <c r="G54" s="23">
        <v>2</v>
      </c>
      <c r="H54" s="23" t="s">
        <v>245</v>
      </c>
      <c r="I54" s="41">
        <v>1645964.714450177</v>
      </c>
      <c r="J54" s="36">
        <v>53</v>
      </c>
      <c r="K54" s="15" t="s">
        <v>99</v>
      </c>
      <c r="L54" s="37">
        <v>245191743.1249111</v>
      </c>
      <c r="M54" s="37">
        <v>82743401.996302173</v>
      </c>
      <c r="N54" s="38">
        <f>L54/M54</f>
        <v>2.9632784875810252</v>
      </c>
      <c r="O54" s="21" t="s">
        <v>248</v>
      </c>
      <c r="P54" s="15">
        <v>44</v>
      </c>
    </row>
    <row r="55" spans="1:18" x14ac:dyDescent="0.3">
      <c r="A55" s="15" t="s">
        <v>260</v>
      </c>
      <c r="B55" s="22">
        <v>9783</v>
      </c>
      <c r="C55" s="23" t="s">
        <v>246</v>
      </c>
      <c r="D55" s="23" t="s">
        <v>247</v>
      </c>
      <c r="E55" s="23" t="s">
        <v>253</v>
      </c>
      <c r="F55" s="23">
        <v>10</v>
      </c>
      <c r="G55" s="23">
        <v>3</v>
      </c>
      <c r="H55" s="23" t="s">
        <v>245</v>
      </c>
      <c r="I55" s="41">
        <v>1459932.3735723246</v>
      </c>
      <c r="J55" s="36">
        <v>54</v>
      </c>
      <c r="K55" s="15" t="s">
        <v>116</v>
      </c>
      <c r="L55" s="30">
        <v>12067633.269244868</v>
      </c>
      <c r="M55" s="30"/>
      <c r="N55" s="38"/>
      <c r="P55" s="15">
        <v>43</v>
      </c>
    </row>
    <row r="56" spans="1:18" x14ac:dyDescent="0.3">
      <c r="A56" s="15" t="s">
        <v>260</v>
      </c>
      <c r="B56" s="22">
        <v>9776</v>
      </c>
      <c r="C56" s="23" t="s">
        <v>246</v>
      </c>
      <c r="D56" s="23" t="s">
        <v>247</v>
      </c>
      <c r="E56" s="23" t="s">
        <v>253</v>
      </c>
      <c r="F56" s="23">
        <v>10</v>
      </c>
      <c r="G56" s="23">
        <v>4</v>
      </c>
      <c r="H56" s="23" t="s">
        <v>245</v>
      </c>
      <c r="I56" s="42">
        <v>192908.5260003127</v>
      </c>
      <c r="J56" s="36">
        <v>55</v>
      </c>
      <c r="K56" s="15" t="s">
        <v>133</v>
      </c>
      <c r="L56" s="30">
        <v>1801425.58311949</v>
      </c>
      <c r="M56" s="30"/>
      <c r="N56" s="38"/>
      <c r="P56" s="15">
        <v>42</v>
      </c>
      <c r="Q56" s="15" t="s">
        <v>261</v>
      </c>
    </row>
    <row r="57" spans="1:18" x14ac:dyDescent="0.3">
      <c r="A57" s="15" t="s">
        <v>260</v>
      </c>
      <c r="B57" s="22">
        <v>9769</v>
      </c>
      <c r="C57" s="23" t="s">
        <v>246</v>
      </c>
      <c r="D57" s="23" t="s">
        <v>247</v>
      </c>
      <c r="E57" s="23" t="s">
        <v>254</v>
      </c>
      <c r="F57" s="23">
        <v>10</v>
      </c>
      <c r="G57" s="23" t="s">
        <v>255</v>
      </c>
      <c r="H57" s="23" t="s">
        <v>245</v>
      </c>
      <c r="I57" s="41">
        <v>3589145.808766372</v>
      </c>
      <c r="J57" s="36">
        <v>56</v>
      </c>
      <c r="K57" s="15" t="s">
        <v>150</v>
      </c>
      <c r="L57" s="37">
        <v>166503673.51254016</v>
      </c>
      <c r="M57" s="37">
        <v>54596937.429423116</v>
      </c>
      <c r="N57" s="38">
        <f>L57/M57</f>
        <v>3.049688890109957</v>
      </c>
      <c r="O57" s="21" t="s">
        <v>248</v>
      </c>
      <c r="P57" s="15">
        <v>41</v>
      </c>
    </row>
    <row r="58" spans="1:18" x14ac:dyDescent="0.3">
      <c r="A58" s="15" t="s">
        <v>260</v>
      </c>
      <c r="B58" s="22">
        <v>9786</v>
      </c>
      <c r="C58" s="23" t="s">
        <v>246</v>
      </c>
      <c r="D58" s="23" t="s">
        <v>247</v>
      </c>
      <c r="E58" s="23" t="s">
        <v>254</v>
      </c>
      <c r="F58" s="23">
        <v>10</v>
      </c>
      <c r="G58" s="23" t="s">
        <v>256</v>
      </c>
      <c r="H58" s="23" t="s">
        <v>245</v>
      </c>
      <c r="I58" s="41">
        <v>2430557.0053479904</v>
      </c>
      <c r="J58" s="36">
        <v>57</v>
      </c>
      <c r="K58" s="15" t="s">
        <v>31</v>
      </c>
      <c r="L58" s="19">
        <v>421875003.99162632</v>
      </c>
      <c r="M58" s="30"/>
      <c r="N58" s="43"/>
      <c r="O58" s="21" t="s">
        <v>248</v>
      </c>
      <c r="P58" s="15">
        <v>40</v>
      </c>
    </row>
    <row r="59" spans="1:18" x14ac:dyDescent="0.3">
      <c r="A59" s="15" t="s">
        <v>260</v>
      </c>
      <c r="B59" s="22">
        <v>9770</v>
      </c>
      <c r="C59" s="23" t="s">
        <v>246</v>
      </c>
      <c r="D59" s="23" t="s">
        <v>247</v>
      </c>
      <c r="E59" s="23" t="s">
        <v>257</v>
      </c>
      <c r="F59" s="23">
        <v>10</v>
      </c>
      <c r="G59" s="23" t="s">
        <v>257</v>
      </c>
      <c r="H59" s="23" t="s">
        <v>245</v>
      </c>
      <c r="I59" s="41">
        <v>4700982.2429028917</v>
      </c>
      <c r="J59" s="36">
        <v>58</v>
      </c>
      <c r="K59" s="15" t="s">
        <v>49</v>
      </c>
      <c r="L59" s="30">
        <v>668070941.63206482</v>
      </c>
      <c r="M59" s="30"/>
      <c r="N59" s="43"/>
      <c r="O59" s="21" t="s">
        <v>248</v>
      </c>
      <c r="P59" s="15">
        <v>39</v>
      </c>
      <c r="R59" s="44"/>
    </row>
    <row r="60" spans="1:18" x14ac:dyDescent="0.3">
      <c r="A60" s="15" t="s">
        <v>260</v>
      </c>
      <c r="B60" s="22">
        <v>9785</v>
      </c>
      <c r="C60" s="23" t="s">
        <v>246</v>
      </c>
      <c r="D60" s="23" t="s">
        <v>247</v>
      </c>
      <c r="E60" s="23" t="s">
        <v>257</v>
      </c>
      <c r="F60" s="23">
        <v>10</v>
      </c>
      <c r="G60" s="23" t="s">
        <v>257</v>
      </c>
      <c r="H60" s="23" t="s">
        <v>245</v>
      </c>
      <c r="I60" s="41">
        <v>4654231.2973438203</v>
      </c>
      <c r="J60" s="36">
        <v>59</v>
      </c>
      <c r="K60" s="15" t="s">
        <v>66</v>
      </c>
      <c r="L60" s="30">
        <v>649793665.33975792</v>
      </c>
      <c r="M60" s="30"/>
      <c r="N60" s="43"/>
      <c r="O60" s="21" t="s">
        <v>248</v>
      </c>
      <c r="P60" s="15">
        <v>38</v>
      </c>
    </row>
    <row r="61" spans="1:18" x14ac:dyDescent="0.3">
      <c r="A61" s="15" t="s">
        <v>260</v>
      </c>
      <c r="B61" s="22">
        <v>10299</v>
      </c>
      <c r="C61" s="23" t="s">
        <v>242</v>
      </c>
      <c r="D61" s="23" t="s">
        <v>249</v>
      </c>
      <c r="E61" s="23" t="s">
        <v>253</v>
      </c>
      <c r="F61" s="23">
        <v>10</v>
      </c>
      <c r="G61" s="23">
        <v>1</v>
      </c>
      <c r="H61" s="23" t="s">
        <v>250</v>
      </c>
      <c r="I61" s="29">
        <v>0</v>
      </c>
      <c r="J61" s="36">
        <v>60</v>
      </c>
      <c r="K61" s="15" t="s">
        <v>83</v>
      </c>
      <c r="L61" s="30">
        <v>27190927.760053996</v>
      </c>
      <c r="M61" s="30"/>
      <c r="N61" s="43"/>
      <c r="O61" s="21" t="s">
        <v>248</v>
      </c>
      <c r="P61" s="15">
        <v>37</v>
      </c>
    </row>
    <row r="62" spans="1:18" x14ac:dyDescent="0.3">
      <c r="A62" s="15" t="s">
        <v>260</v>
      </c>
      <c r="B62" s="22">
        <v>10302</v>
      </c>
      <c r="C62" s="23" t="s">
        <v>242</v>
      </c>
      <c r="D62" s="23" t="s">
        <v>249</v>
      </c>
      <c r="E62" s="23" t="s">
        <v>253</v>
      </c>
      <c r="F62" s="23">
        <v>10</v>
      </c>
      <c r="G62" s="23">
        <v>2</v>
      </c>
      <c r="H62" s="23" t="s">
        <v>250</v>
      </c>
      <c r="I62" s="29">
        <v>21533.848992101364</v>
      </c>
      <c r="J62" s="36">
        <v>61</v>
      </c>
      <c r="K62" s="15" t="s">
        <v>100</v>
      </c>
      <c r="L62" s="30">
        <v>12720990.951803684</v>
      </c>
      <c r="M62" s="30"/>
      <c r="N62" s="43"/>
      <c r="O62" s="21" t="s">
        <v>248</v>
      </c>
      <c r="P62" s="15">
        <v>36</v>
      </c>
    </row>
    <row r="63" spans="1:18" x14ac:dyDescent="0.3">
      <c r="A63" s="15" t="s">
        <v>260</v>
      </c>
      <c r="B63" s="22">
        <v>10304</v>
      </c>
      <c r="C63" s="23" t="s">
        <v>242</v>
      </c>
      <c r="D63" s="23" t="s">
        <v>249</v>
      </c>
      <c r="E63" s="23" t="s">
        <v>253</v>
      </c>
      <c r="F63" s="23">
        <v>10</v>
      </c>
      <c r="G63" s="23">
        <v>3</v>
      </c>
      <c r="H63" s="23" t="s">
        <v>250</v>
      </c>
      <c r="I63" s="29">
        <v>5778.0834192662933</v>
      </c>
      <c r="J63" s="36">
        <v>62</v>
      </c>
      <c r="K63" s="15" t="s">
        <v>117</v>
      </c>
      <c r="L63" s="30">
        <v>45859897.409695864</v>
      </c>
      <c r="M63" s="30"/>
      <c r="N63" s="43"/>
      <c r="O63" s="21" t="s">
        <v>248</v>
      </c>
      <c r="P63" s="15">
        <v>35</v>
      </c>
    </row>
    <row r="64" spans="1:18" x14ac:dyDescent="0.3">
      <c r="A64" s="15" t="s">
        <v>260</v>
      </c>
      <c r="B64" s="22">
        <v>10307</v>
      </c>
      <c r="C64" s="23" t="s">
        <v>242</v>
      </c>
      <c r="D64" s="23" t="s">
        <v>249</v>
      </c>
      <c r="E64" s="23" t="s">
        <v>253</v>
      </c>
      <c r="F64" s="23">
        <v>10</v>
      </c>
      <c r="G64" s="23">
        <v>4</v>
      </c>
      <c r="H64" s="23" t="s">
        <v>250</v>
      </c>
      <c r="I64" s="29">
        <v>0</v>
      </c>
      <c r="J64" s="36">
        <v>63</v>
      </c>
      <c r="K64" s="15" t="s">
        <v>134</v>
      </c>
      <c r="L64" s="30">
        <v>47911102.401373178</v>
      </c>
      <c r="M64" s="30"/>
      <c r="N64" s="43"/>
      <c r="O64" s="21" t="s">
        <v>248</v>
      </c>
      <c r="P64" s="15">
        <v>34</v>
      </c>
    </row>
    <row r="65" spans="1:19" x14ac:dyDescent="0.3">
      <c r="A65" s="15" t="s">
        <v>260</v>
      </c>
      <c r="B65" s="22">
        <v>10300</v>
      </c>
      <c r="C65" s="23" t="s">
        <v>242</v>
      </c>
      <c r="D65" s="23" t="s">
        <v>249</v>
      </c>
      <c r="E65" s="23" t="s">
        <v>254</v>
      </c>
      <c r="F65" s="23">
        <v>10</v>
      </c>
      <c r="G65" s="23" t="s">
        <v>255</v>
      </c>
      <c r="H65" s="23" t="s">
        <v>250</v>
      </c>
      <c r="I65" s="29">
        <v>3220.0000000000032</v>
      </c>
      <c r="J65" s="36">
        <v>64</v>
      </c>
      <c r="K65" s="15" t="s">
        <v>151</v>
      </c>
      <c r="L65" s="30">
        <v>140723539.73947516</v>
      </c>
      <c r="M65" s="30"/>
      <c r="N65" s="43"/>
      <c r="O65" s="21" t="s">
        <v>248</v>
      </c>
      <c r="P65" s="15">
        <v>33</v>
      </c>
    </row>
    <row r="66" spans="1:19" x14ac:dyDescent="0.3">
      <c r="A66" s="15" t="s">
        <v>260</v>
      </c>
      <c r="B66" s="22">
        <v>10305</v>
      </c>
      <c r="C66" s="23" t="s">
        <v>242</v>
      </c>
      <c r="D66" s="23" t="s">
        <v>249</v>
      </c>
      <c r="E66" s="23" t="s">
        <v>254</v>
      </c>
      <c r="F66" s="23">
        <v>10</v>
      </c>
      <c r="G66" s="23" t="s">
        <v>256</v>
      </c>
      <c r="H66" s="23" t="s">
        <v>250</v>
      </c>
      <c r="I66" s="29">
        <v>2180.5727530224099</v>
      </c>
      <c r="J66" s="36">
        <v>65</v>
      </c>
      <c r="K66" s="15" t="s">
        <v>33</v>
      </c>
      <c r="L66" s="30">
        <v>33487418.048583552</v>
      </c>
      <c r="M66" s="30"/>
      <c r="N66" s="43"/>
      <c r="P66" s="15">
        <v>32</v>
      </c>
    </row>
    <row r="67" spans="1:19" x14ac:dyDescent="0.3">
      <c r="A67" s="15" t="s">
        <v>260</v>
      </c>
      <c r="B67" s="22">
        <v>10009</v>
      </c>
      <c r="C67" s="23" t="s">
        <v>242</v>
      </c>
      <c r="D67" s="23" t="s">
        <v>249</v>
      </c>
      <c r="E67" s="23" t="s">
        <v>257</v>
      </c>
      <c r="F67" s="23">
        <v>10</v>
      </c>
      <c r="G67" s="23" t="s">
        <v>257</v>
      </c>
      <c r="H67" s="23" t="s">
        <v>250</v>
      </c>
      <c r="I67" s="29">
        <v>3220.0000000000005</v>
      </c>
      <c r="J67" s="36">
        <v>66</v>
      </c>
      <c r="K67" s="15" t="s">
        <v>51</v>
      </c>
      <c r="L67" s="30">
        <v>73163183.959754631</v>
      </c>
      <c r="M67" s="30"/>
      <c r="N67" s="43"/>
      <c r="P67" s="15">
        <v>31</v>
      </c>
    </row>
    <row r="68" spans="1:19" x14ac:dyDescent="0.3">
      <c r="A68" s="15" t="s">
        <v>260</v>
      </c>
      <c r="B68" s="22">
        <v>10309</v>
      </c>
      <c r="C68" s="23" t="s">
        <v>246</v>
      </c>
      <c r="D68" s="23" t="s">
        <v>251</v>
      </c>
      <c r="E68" s="23" t="s">
        <v>253</v>
      </c>
      <c r="F68" s="23">
        <v>10</v>
      </c>
      <c r="G68" s="23">
        <v>1</v>
      </c>
      <c r="H68" s="23" t="s">
        <v>250</v>
      </c>
      <c r="I68" s="24">
        <v>17294.128726297698</v>
      </c>
      <c r="J68" s="36">
        <v>67</v>
      </c>
      <c r="K68" s="15" t="s">
        <v>68</v>
      </c>
      <c r="L68" s="30">
        <v>65247818.941601239</v>
      </c>
      <c r="M68" s="30"/>
      <c r="N68" s="43"/>
      <c r="P68" s="15">
        <v>30</v>
      </c>
    </row>
    <row r="69" spans="1:19" x14ac:dyDescent="0.3">
      <c r="A69" s="15" t="s">
        <v>260</v>
      </c>
      <c r="B69" s="22">
        <v>10312</v>
      </c>
      <c r="C69" s="23" t="s">
        <v>246</v>
      </c>
      <c r="D69" s="23" t="s">
        <v>251</v>
      </c>
      <c r="E69" s="23" t="s">
        <v>253</v>
      </c>
      <c r="F69" s="23">
        <v>10</v>
      </c>
      <c r="G69" s="23">
        <v>2</v>
      </c>
      <c r="H69" s="23" t="s">
        <v>250</v>
      </c>
      <c r="I69" s="24">
        <v>832091.83842248935</v>
      </c>
      <c r="J69" s="36">
        <v>68</v>
      </c>
      <c r="K69" s="15" t="s">
        <v>85</v>
      </c>
      <c r="L69" s="30">
        <v>304165779.16842902</v>
      </c>
      <c r="M69" s="30"/>
      <c r="N69" s="43"/>
      <c r="P69" s="15">
        <v>29</v>
      </c>
    </row>
    <row r="70" spans="1:19" x14ac:dyDescent="0.3">
      <c r="A70" s="15" t="s">
        <v>260</v>
      </c>
      <c r="B70" s="22">
        <v>10314</v>
      </c>
      <c r="C70" s="23" t="s">
        <v>246</v>
      </c>
      <c r="D70" s="23" t="s">
        <v>251</v>
      </c>
      <c r="E70" s="23" t="s">
        <v>253</v>
      </c>
      <c r="F70" s="23">
        <v>10</v>
      </c>
      <c r="G70" s="23">
        <v>3</v>
      </c>
      <c r="H70" s="23" t="s">
        <v>250</v>
      </c>
      <c r="I70" s="24">
        <v>107503.71856000014</v>
      </c>
      <c r="J70" s="36">
        <v>69</v>
      </c>
      <c r="K70" s="15" t="s">
        <v>102</v>
      </c>
      <c r="L70" s="30">
        <v>192765953.14885801</v>
      </c>
      <c r="M70" s="30"/>
      <c r="N70" s="43"/>
      <c r="P70" s="15">
        <v>28</v>
      </c>
    </row>
    <row r="71" spans="1:19" x14ac:dyDescent="0.3">
      <c r="A71" s="15" t="s">
        <v>260</v>
      </c>
      <c r="B71" s="22">
        <v>10317</v>
      </c>
      <c r="C71" s="23" t="s">
        <v>246</v>
      </c>
      <c r="D71" s="23" t="s">
        <v>251</v>
      </c>
      <c r="E71" s="23" t="s">
        <v>253</v>
      </c>
      <c r="F71" s="23">
        <v>10</v>
      </c>
      <c r="G71" s="23">
        <v>4</v>
      </c>
      <c r="H71" s="23" t="s">
        <v>250</v>
      </c>
      <c r="I71" s="24">
        <v>18605.428610037481</v>
      </c>
      <c r="J71" s="36">
        <v>70</v>
      </c>
      <c r="K71" s="15" t="s">
        <v>119</v>
      </c>
      <c r="L71" s="30">
        <v>47742603.889786303</v>
      </c>
      <c r="M71" s="30"/>
      <c r="N71" s="43"/>
      <c r="P71" s="15">
        <v>27</v>
      </c>
    </row>
    <row r="72" spans="1:19" x14ac:dyDescent="0.3">
      <c r="A72" s="15" t="s">
        <v>260</v>
      </c>
      <c r="B72" s="22">
        <v>10313</v>
      </c>
      <c r="C72" s="23" t="s">
        <v>246</v>
      </c>
      <c r="D72" s="23" t="s">
        <v>251</v>
      </c>
      <c r="E72" s="23" t="s">
        <v>254</v>
      </c>
      <c r="F72" s="23">
        <v>10</v>
      </c>
      <c r="G72" s="23" t="s">
        <v>255</v>
      </c>
      <c r="H72" s="23" t="s">
        <v>250</v>
      </c>
      <c r="I72" s="24">
        <v>59909.480124320726</v>
      </c>
      <c r="J72" s="36">
        <v>71</v>
      </c>
      <c r="K72" s="15" t="s">
        <v>136</v>
      </c>
      <c r="L72" s="30">
        <v>47655037.159062997</v>
      </c>
      <c r="M72" s="30"/>
      <c r="N72" s="43"/>
      <c r="P72" s="15">
        <v>26</v>
      </c>
    </row>
    <row r="73" spans="1:19" x14ac:dyDescent="0.3">
      <c r="A73" s="15" t="s">
        <v>260</v>
      </c>
      <c r="B73" s="22">
        <v>10220</v>
      </c>
      <c r="C73" s="23" t="s">
        <v>246</v>
      </c>
      <c r="D73" s="23" t="s">
        <v>251</v>
      </c>
      <c r="E73" s="23" t="s">
        <v>254</v>
      </c>
      <c r="F73" s="23">
        <v>10</v>
      </c>
      <c r="G73" s="23" t="s">
        <v>256</v>
      </c>
      <c r="H73" s="23" t="s">
        <v>250</v>
      </c>
      <c r="I73" s="24">
        <v>8532.3585669174099</v>
      </c>
      <c r="J73" s="36">
        <v>72</v>
      </c>
      <c r="K73" s="15" t="s">
        <v>153</v>
      </c>
      <c r="L73" s="30">
        <v>22886674.250696313</v>
      </c>
      <c r="M73" s="30"/>
      <c r="N73" s="43"/>
      <c r="P73" s="15">
        <v>25</v>
      </c>
    </row>
    <row r="74" spans="1:19" x14ac:dyDescent="0.3">
      <c r="A74" s="15" t="s">
        <v>260</v>
      </c>
      <c r="B74" s="22">
        <v>10311</v>
      </c>
      <c r="C74" s="23" t="s">
        <v>246</v>
      </c>
      <c r="D74" s="23" t="s">
        <v>251</v>
      </c>
      <c r="E74" s="23" t="s">
        <v>257</v>
      </c>
      <c r="F74" s="23">
        <v>10</v>
      </c>
      <c r="G74" s="23" t="s">
        <v>257</v>
      </c>
      <c r="H74" s="23" t="s">
        <v>250</v>
      </c>
      <c r="I74" s="24">
        <v>577386.07060009916</v>
      </c>
      <c r="J74" s="36">
        <v>73</v>
      </c>
      <c r="K74" s="15" t="s">
        <v>34</v>
      </c>
      <c r="L74" s="30">
        <v>1007578247.4490278</v>
      </c>
      <c r="M74" s="30"/>
      <c r="N74" s="43"/>
      <c r="P74" s="15">
        <v>24</v>
      </c>
    </row>
    <row r="75" spans="1:19" x14ac:dyDescent="0.3">
      <c r="A75" s="15" t="s">
        <v>260</v>
      </c>
      <c r="B75" s="25">
        <v>10318</v>
      </c>
      <c r="C75" s="26" t="s">
        <v>246</v>
      </c>
      <c r="D75" s="26" t="s">
        <v>251</v>
      </c>
      <c r="E75" s="26" t="s">
        <v>257</v>
      </c>
      <c r="F75" s="26">
        <v>10</v>
      </c>
      <c r="G75" s="26" t="s">
        <v>257</v>
      </c>
      <c r="H75" s="26" t="s">
        <v>250</v>
      </c>
      <c r="I75" s="27">
        <v>621165.45372100663</v>
      </c>
      <c r="J75" s="36">
        <v>74</v>
      </c>
      <c r="K75" s="15" t="s">
        <v>52</v>
      </c>
      <c r="L75" s="30">
        <v>1078609116.9216552</v>
      </c>
      <c r="M75" s="30"/>
      <c r="N75" s="43"/>
      <c r="P75" s="15">
        <v>23</v>
      </c>
    </row>
    <row r="76" spans="1:19" ht="15" customHeight="1" x14ac:dyDescent="0.3">
      <c r="A76" s="15" t="s">
        <v>262</v>
      </c>
      <c r="B76" s="45" t="s">
        <v>263</v>
      </c>
      <c r="C76" s="46" t="s">
        <v>246</v>
      </c>
      <c r="D76" s="46" t="s">
        <v>247</v>
      </c>
      <c r="E76" s="46" t="s">
        <v>253</v>
      </c>
      <c r="F76" s="46" t="s">
        <v>264</v>
      </c>
      <c r="G76" s="46">
        <v>1</v>
      </c>
      <c r="H76" s="46" t="s">
        <v>245</v>
      </c>
      <c r="I76" s="47">
        <v>8627461.0174997523</v>
      </c>
      <c r="J76" s="15">
        <v>75</v>
      </c>
      <c r="K76" s="15" t="s">
        <v>69</v>
      </c>
      <c r="L76" s="19">
        <v>2538860.5402519642</v>
      </c>
      <c r="P76" s="15">
        <v>22</v>
      </c>
      <c r="S76" s="15">
        <f>O76/I76</f>
        <v>0</v>
      </c>
    </row>
    <row r="77" spans="1:19" x14ac:dyDescent="0.3">
      <c r="A77" s="15" t="s">
        <v>262</v>
      </c>
      <c r="B77" s="48" t="s">
        <v>265</v>
      </c>
      <c r="C77" s="49" t="s">
        <v>246</v>
      </c>
      <c r="D77" s="49" t="s">
        <v>247</v>
      </c>
      <c r="E77" s="49" t="s">
        <v>253</v>
      </c>
      <c r="F77" s="46" t="s">
        <v>264</v>
      </c>
      <c r="G77" s="49">
        <v>2</v>
      </c>
      <c r="H77" s="49" t="s">
        <v>245</v>
      </c>
      <c r="I77" s="50">
        <v>11557049.504227692</v>
      </c>
      <c r="J77" s="15">
        <v>76</v>
      </c>
      <c r="K77" s="15" t="s">
        <v>86</v>
      </c>
      <c r="L77" s="19">
        <v>622189.86646807101</v>
      </c>
      <c r="P77" s="15">
        <v>21</v>
      </c>
    </row>
    <row r="78" spans="1:19" x14ac:dyDescent="0.3">
      <c r="A78" s="15" t="s">
        <v>262</v>
      </c>
      <c r="B78" s="48" t="s">
        <v>266</v>
      </c>
      <c r="C78" s="49" t="s">
        <v>246</v>
      </c>
      <c r="D78" s="49" t="s">
        <v>247</v>
      </c>
      <c r="E78" s="49" t="s">
        <v>253</v>
      </c>
      <c r="F78" s="46" t="s">
        <v>264</v>
      </c>
      <c r="G78" s="49">
        <v>3</v>
      </c>
      <c r="H78" s="49" t="s">
        <v>245</v>
      </c>
      <c r="I78" s="50">
        <v>27780424.476349194</v>
      </c>
      <c r="J78" s="15">
        <v>77</v>
      </c>
      <c r="K78" s="15" t="s">
        <v>103</v>
      </c>
      <c r="L78" s="19">
        <v>676322.40998920437</v>
      </c>
      <c r="P78" s="15">
        <v>20</v>
      </c>
    </row>
    <row r="79" spans="1:19" x14ac:dyDescent="0.3">
      <c r="A79" s="15" t="s">
        <v>262</v>
      </c>
      <c r="B79" s="48" t="s">
        <v>267</v>
      </c>
      <c r="C79" s="49" t="s">
        <v>246</v>
      </c>
      <c r="D79" s="49" t="s">
        <v>247</v>
      </c>
      <c r="E79" s="49" t="s">
        <v>253</v>
      </c>
      <c r="F79" s="46" t="s">
        <v>264</v>
      </c>
      <c r="G79" s="49">
        <v>4</v>
      </c>
      <c r="H79" s="49" t="s">
        <v>245</v>
      </c>
      <c r="I79" s="50">
        <v>11557049.504227692</v>
      </c>
      <c r="J79" s="15">
        <v>78</v>
      </c>
      <c r="K79" s="15" t="s">
        <v>120</v>
      </c>
      <c r="L79" s="19">
        <v>281222.13343163137</v>
      </c>
      <c r="P79" s="15">
        <v>19</v>
      </c>
    </row>
    <row r="80" spans="1:19" x14ac:dyDescent="0.3">
      <c r="A80" s="15" t="s">
        <v>262</v>
      </c>
      <c r="B80" s="48" t="s">
        <v>268</v>
      </c>
      <c r="C80" s="49" t="s">
        <v>246</v>
      </c>
      <c r="D80" s="49" t="s">
        <v>247</v>
      </c>
      <c r="E80" s="49" t="s">
        <v>254</v>
      </c>
      <c r="F80" s="46" t="s">
        <v>264</v>
      </c>
      <c r="G80" s="49" t="s">
        <v>255</v>
      </c>
      <c r="H80" s="49" t="s">
        <v>245</v>
      </c>
      <c r="I80" s="51">
        <v>20738383.886962038</v>
      </c>
      <c r="J80" s="15">
        <v>79</v>
      </c>
      <c r="K80" s="15" t="s">
        <v>137</v>
      </c>
      <c r="L80" s="19">
        <v>3246613.6872957163</v>
      </c>
      <c r="P80" s="15">
        <v>18</v>
      </c>
    </row>
    <row r="81" spans="1:16" x14ac:dyDescent="0.3">
      <c r="A81" s="15" t="s">
        <v>262</v>
      </c>
      <c r="B81" s="48" t="s">
        <v>269</v>
      </c>
      <c r="C81" s="49" t="s">
        <v>246</v>
      </c>
      <c r="D81" s="49" t="s">
        <v>247</v>
      </c>
      <c r="E81" s="49" t="s">
        <v>254</v>
      </c>
      <c r="F81" s="46" t="s">
        <v>264</v>
      </c>
      <c r="G81" s="49" t="s">
        <v>256</v>
      </c>
      <c r="H81" s="49" t="s">
        <v>245</v>
      </c>
      <c r="I81" s="51">
        <v>25200987.254250091</v>
      </c>
      <c r="J81" s="15">
        <v>80</v>
      </c>
      <c r="K81" s="15" t="s">
        <v>154</v>
      </c>
      <c r="L81" s="19">
        <v>3337980.4255519658</v>
      </c>
      <c r="P81" s="15">
        <v>17</v>
      </c>
    </row>
    <row r="82" spans="1:16" x14ac:dyDescent="0.3">
      <c r="A82" s="15" t="s">
        <v>262</v>
      </c>
      <c r="B82" s="48" t="s">
        <v>270</v>
      </c>
      <c r="C82" s="49" t="s">
        <v>246</v>
      </c>
      <c r="D82" s="49" t="s">
        <v>247</v>
      </c>
      <c r="E82" s="49" t="s">
        <v>257</v>
      </c>
      <c r="F82" s="46" t="s">
        <v>264</v>
      </c>
      <c r="G82" s="49" t="s">
        <v>257</v>
      </c>
      <c r="H82" s="49" t="s">
        <v>245</v>
      </c>
      <c r="I82" s="50">
        <v>17066020.545305211</v>
      </c>
      <c r="J82" s="15">
        <v>81</v>
      </c>
      <c r="K82" s="15" t="s">
        <v>36</v>
      </c>
      <c r="L82" s="19">
        <v>676686.53143871925</v>
      </c>
      <c r="P82" s="15">
        <v>16</v>
      </c>
    </row>
    <row r="83" spans="1:16" x14ac:dyDescent="0.3">
      <c r="A83" s="15" t="s">
        <v>262</v>
      </c>
      <c r="B83" s="52" t="s">
        <v>271</v>
      </c>
      <c r="C83" s="53" t="s">
        <v>246</v>
      </c>
      <c r="D83" s="53" t="s">
        <v>247</v>
      </c>
      <c r="E83" s="53" t="s">
        <v>257</v>
      </c>
      <c r="F83" s="46" t="s">
        <v>264</v>
      </c>
      <c r="G83" s="53" t="s">
        <v>257</v>
      </c>
      <c r="H83" s="53" t="s">
        <v>245</v>
      </c>
      <c r="I83" s="54">
        <v>20738383.886962038</v>
      </c>
      <c r="J83" s="15">
        <v>82</v>
      </c>
      <c r="K83" s="15" t="s">
        <v>54</v>
      </c>
      <c r="L83" s="19">
        <v>3041902.0646290774</v>
      </c>
      <c r="P83" s="15">
        <v>15</v>
      </c>
    </row>
    <row r="84" spans="1:16" ht="15" customHeight="1" x14ac:dyDescent="0.3">
      <c r="A84" s="15" t="s">
        <v>272</v>
      </c>
      <c r="B84" s="16">
        <v>10646</v>
      </c>
      <c r="C84" s="17" t="s">
        <v>246</v>
      </c>
      <c r="D84" s="17" t="s">
        <v>247</v>
      </c>
      <c r="E84" s="17" t="s">
        <v>253</v>
      </c>
      <c r="F84" s="17" t="s">
        <v>273</v>
      </c>
      <c r="G84" s="17">
        <v>1</v>
      </c>
      <c r="H84" s="17" t="s">
        <v>245</v>
      </c>
      <c r="I84" s="28">
        <v>6440491.8903608937</v>
      </c>
      <c r="J84" s="15">
        <v>83</v>
      </c>
      <c r="K84" s="15" t="s">
        <v>71</v>
      </c>
      <c r="L84" s="19">
        <v>79140301.901765376</v>
      </c>
      <c r="P84" s="15">
        <v>14</v>
      </c>
    </row>
    <row r="85" spans="1:16" x14ac:dyDescent="0.3">
      <c r="A85" s="15" t="s">
        <v>272</v>
      </c>
      <c r="B85" s="22">
        <v>10627</v>
      </c>
      <c r="C85" s="23" t="s">
        <v>246</v>
      </c>
      <c r="D85" s="23" t="s">
        <v>247</v>
      </c>
      <c r="E85" s="23" t="s">
        <v>253</v>
      </c>
      <c r="F85" s="23" t="s">
        <v>273</v>
      </c>
      <c r="G85" s="23">
        <v>2</v>
      </c>
      <c r="H85" s="23" t="s">
        <v>245</v>
      </c>
      <c r="I85" s="29">
        <v>33386.248000000051</v>
      </c>
      <c r="J85" s="15">
        <v>84</v>
      </c>
      <c r="K85" s="15" t="s">
        <v>88</v>
      </c>
      <c r="L85" s="19">
        <v>1270247.2866460378</v>
      </c>
      <c r="P85" s="15">
        <v>13</v>
      </c>
    </row>
    <row r="86" spans="1:16" x14ac:dyDescent="0.3">
      <c r="A86" s="15" t="s">
        <v>272</v>
      </c>
      <c r="B86" s="22">
        <v>10623</v>
      </c>
      <c r="C86" s="23" t="s">
        <v>246</v>
      </c>
      <c r="D86" s="23" t="s">
        <v>247</v>
      </c>
      <c r="E86" s="23" t="s">
        <v>253</v>
      </c>
      <c r="F86" s="23" t="s">
        <v>273</v>
      </c>
      <c r="G86" s="23">
        <v>3</v>
      </c>
      <c r="H86" s="23" t="s">
        <v>245</v>
      </c>
      <c r="I86" s="29">
        <v>4700982.2429028917</v>
      </c>
      <c r="J86" s="15">
        <v>85</v>
      </c>
      <c r="K86" s="15" t="s">
        <v>105</v>
      </c>
      <c r="L86" s="19">
        <v>408050533.63332164</v>
      </c>
      <c r="P86" s="15">
        <v>12</v>
      </c>
    </row>
    <row r="87" spans="1:16" x14ac:dyDescent="0.3">
      <c r="A87" s="15" t="s">
        <v>272</v>
      </c>
      <c r="B87" s="22">
        <v>10640</v>
      </c>
      <c r="C87" s="23" t="s">
        <v>246</v>
      </c>
      <c r="D87" s="23" t="s">
        <v>247</v>
      </c>
      <c r="E87" s="23" t="s">
        <v>253</v>
      </c>
      <c r="F87" s="23" t="s">
        <v>273</v>
      </c>
      <c r="G87" s="23">
        <v>4</v>
      </c>
      <c r="H87" s="23" t="s">
        <v>245</v>
      </c>
      <c r="I87" s="29">
        <v>2953578.0823794859</v>
      </c>
      <c r="J87" s="15">
        <v>86</v>
      </c>
      <c r="K87" s="15" t="s">
        <v>122</v>
      </c>
      <c r="L87" s="19">
        <v>27187948.259404216</v>
      </c>
      <c r="P87" s="15">
        <v>11</v>
      </c>
    </row>
    <row r="88" spans="1:16" x14ac:dyDescent="0.3">
      <c r="A88" s="15" t="s">
        <v>272</v>
      </c>
      <c r="B88" s="22">
        <v>10637</v>
      </c>
      <c r="C88" s="23" t="s">
        <v>246</v>
      </c>
      <c r="D88" s="23" t="s">
        <v>247</v>
      </c>
      <c r="E88" s="23" t="s">
        <v>254</v>
      </c>
      <c r="F88" s="23" t="s">
        <v>273</v>
      </c>
      <c r="G88" s="23" t="s">
        <v>255</v>
      </c>
      <c r="H88" s="23" t="s">
        <v>245</v>
      </c>
      <c r="I88" s="29">
        <v>17066020.545305211</v>
      </c>
      <c r="J88" s="15">
        <v>87</v>
      </c>
      <c r="K88" s="15" t="s">
        <v>139</v>
      </c>
      <c r="L88" s="19">
        <v>177068830.83632061</v>
      </c>
      <c r="P88" s="15">
        <v>10</v>
      </c>
    </row>
    <row r="89" spans="1:16" x14ac:dyDescent="0.3">
      <c r="A89" s="15" t="s">
        <v>272</v>
      </c>
      <c r="B89" s="22">
        <v>10624</v>
      </c>
      <c r="C89" s="23" t="s">
        <v>246</v>
      </c>
      <c r="D89" s="23" t="s">
        <v>247</v>
      </c>
      <c r="E89" s="23" t="s">
        <v>254</v>
      </c>
      <c r="F89" s="23" t="s">
        <v>273</v>
      </c>
      <c r="G89" s="23" t="s">
        <v>256</v>
      </c>
      <c r="H89" s="23" t="s">
        <v>245</v>
      </c>
      <c r="I89" s="29">
        <v>6440491.8903608937</v>
      </c>
      <c r="J89" s="15">
        <v>88</v>
      </c>
      <c r="K89" s="15" t="s">
        <v>156</v>
      </c>
      <c r="L89" s="19">
        <v>200996526.57220554</v>
      </c>
      <c r="P89" s="15">
        <v>9</v>
      </c>
    </row>
    <row r="90" spans="1:16" x14ac:dyDescent="0.3">
      <c r="A90" s="15" t="s">
        <v>272</v>
      </c>
      <c r="B90" s="22">
        <v>10648</v>
      </c>
      <c r="C90" s="23" t="s">
        <v>246</v>
      </c>
      <c r="D90" s="23" t="s">
        <v>247</v>
      </c>
      <c r="E90" s="23" t="s">
        <v>257</v>
      </c>
      <c r="F90" s="23" t="s">
        <v>273</v>
      </c>
      <c r="G90" s="23" t="s">
        <v>257</v>
      </c>
      <c r="H90" s="23" t="s">
        <v>245</v>
      </c>
      <c r="I90" s="29">
        <v>17066020.545305211</v>
      </c>
      <c r="J90" s="15">
        <v>89</v>
      </c>
      <c r="K90" s="15" t="s">
        <v>37</v>
      </c>
      <c r="L90" s="19">
        <v>439684970.36626053</v>
      </c>
      <c r="P90" s="15">
        <v>8</v>
      </c>
    </row>
    <row r="91" spans="1:16" x14ac:dyDescent="0.3">
      <c r="A91" s="15" t="s">
        <v>272</v>
      </c>
      <c r="B91" s="22">
        <v>10625</v>
      </c>
      <c r="C91" s="23" t="s">
        <v>246</v>
      </c>
      <c r="D91" s="23" t="s">
        <v>247</v>
      </c>
      <c r="E91" s="23" t="s">
        <v>257</v>
      </c>
      <c r="F91" s="23" t="s">
        <v>273</v>
      </c>
      <c r="G91" s="23" t="s">
        <v>257</v>
      </c>
      <c r="H91" s="23" t="s">
        <v>245</v>
      </c>
      <c r="I91" s="29">
        <v>17066020.545305211</v>
      </c>
      <c r="J91" s="15">
        <v>90</v>
      </c>
      <c r="K91" s="15" t="s">
        <v>55</v>
      </c>
      <c r="L91" s="19">
        <v>152645516.18498281</v>
      </c>
      <c r="P91" s="15">
        <v>7</v>
      </c>
    </row>
    <row r="92" spans="1:16" x14ac:dyDescent="0.3">
      <c r="A92" s="15" t="s">
        <v>272</v>
      </c>
      <c r="B92" s="22">
        <v>10649</v>
      </c>
      <c r="C92" s="23" t="s">
        <v>246</v>
      </c>
      <c r="D92" s="23" t="s">
        <v>247</v>
      </c>
      <c r="E92" s="23" t="s">
        <v>274</v>
      </c>
      <c r="F92" s="23" t="s">
        <v>273</v>
      </c>
      <c r="G92" s="23" t="s">
        <v>274</v>
      </c>
      <c r="H92" s="23" t="s">
        <v>245</v>
      </c>
      <c r="I92" s="29">
        <v>7826393.5572205409</v>
      </c>
      <c r="J92" s="15">
        <v>91</v>
      </c>
      <c r="K92" s="15" t="s">
        <v>72</v>
      </c>
      <c r="L92" s="19">
        <v>251134184.89956847</v>
      </c>
      <c r="P92" s="15">
        <v>6</v>
      </c>
    </row>
    <row r="93" spans="1:16" x14ac:dyDescent="0.3">
      <c r="A93" s="15" t="s">
        <v>272</v>
      </c>
      <c r="B93" s="25">
        <v>10626</v>
      </c>
      <c r="C93" s="26" t="s">
        <v>246</v>
      </c>
      <c r="D93" s="26" t="s">
        <v>247</v>
      </c>
      <c r="E93" s="26" t="s">
        <v>274</v>
      </c>
      <c r="F93" s="26" t="s">
        <v>273</v>
      </c>
      <c r="G93" s="26" t="s">
        <v>274</v>
      </c>
      <c r="H93" s="26" t="s">
        <v>245</v>
      </c>
      <c r="I93" s="32">
        <v>4700982.2429028917</v>
      </c>
      <c r="J93" s="15">
        <v>92</v>
      </c>
      <c r="K93" s="15" t="s">
        <v>89</v>
      </c>
      <c r="L93" s="19">
        <v>240785419.67710876</v>
      </c>
      <c r="P93" s="15">
        <v>5</v>
      </c>
    </row>
    <row r="94" spans="1:16" ht="22.5" customHeight="1" x14ac:dyDescent="0.3">
      <c r="A94" s="15" t="s">
        <v>275</v>
      </c>
      <c r="B94" s="16">
        <v>10724</v>
      </c>
      <c r="C94" s="17" t="s">
        <v>246</v>
      </c>
      <c r="D94" s="17" t="s">
        <v>247</v>
      </c>
      <c r="E94" s="17" t="s">
        <v>274</v>
      </c>
      <c r="F94" s="17" t="s">
        <v>273</v>
      </c>
      <c r="G94" s="17">
        <v>1</v>
      </c>
      <c r="H94" s="17" t="s">
        <v>250</v>
      </c>
      <c r="I94" s="28">
        <v>6440491.8903608937</v>
      </c>
      <c r="J94" s="15">
        <v>93</v>
      </c>
      <c r="K94" s="15" t="s">
        <v>106</v>
      </c>
      <c r="L94" s="19">
        <v>575509271.42936814</v>
      </c>
      <c r="P94" s="15">
        <v>4</v>
      </c>
    </row>
    <row r="95" spans="1:16" ht="22.5" customHeight="1" x14ac:dyDescent="0.3">
      <c r="A95" s="15" t="s">
        <v>275</v>
      </c>
      <c r="B95" s="25">
        <v>10732</v>
      </c>
      <c r="C95" s="26" t="s">
        <v>246</v>
      </c>
      <c r="D95" s="26" t="s">
        <v>247</v>
      </c>
      <c r="E95" s="26" t="s">
        <v>274</v>
      </c>
      <c r="F95" s="26" t="s">
        <v>273</v>
      </c>
      <c r="G95" s="26">
        <v>2</v>
      </c>
      <c r="H95" s="26" t="s">
        <v>250</v>
      </c>
      <c r="I95" s="32">
        <v>14043961.132182727</v>
      </c>
      <c r="J95" s="15">
        <v>94</v>
      </c>
      <c r="K95" s="15" t="s">
        <v>123</v>
      </c>
      <c r="L95" s="19">
        <v>400893104.44182259</v>
      </c>
      <c r="P95" s="15">
        <v>3</v>
      </c>
    </row>
    <row r="96" spans="1:16" ht="26.25" customHeight="1" x14ac:dyDescent="0.3">
      <c r="A96" s="44" t="s">
        <v>276</v>
      </c>
      <c r="B96" s="55" t="s">
        <v>276</v>
      </c>
      <c r="C96" s="56"/>
      <c r="D96" s="56"/>
      <c r="E96" s="56"/>
      <c r="F96" s="56"/>
      <c r="G96" s="57"/>
      <c r="H96" s="56"/>
      <c r="I96" s="58">
        <v>18600000</v>
      </c>
      <c r="J96" s="15">
        <v>95</v>
      </c>
      <c r="K96" s="15" t="s">
        <v>140</v>
      </c>
      <c r="L96" s="19">
        <v>18010325.297593903</v>
      </c>
      <c r="P96" s="15">
        <v>2</v>
      </c>
    </row>
    <row r="97" spans="1:16" ht="15" customHeight="1" x14ac:dyDescent="0.3">
      <c r="A97" s="15" t="s">
        <v>277</v>
      </c>
      <c r="B97" s="59" t="s">
        <v>278</v>
      </c>
      <c r="C97" s="60"/>
      <c r="D97" s="60"/>
      <c r="E97" s="60"/>
      <c r="F97" s="60"/>
      <c r="G97" s="60"/>
      <c r="H97" s="60"/>
      <c r="I97" s="61"/>
      <c r="J97" s="15">
        <v>96</v>
      </c>
      <c r="K97" s="15" t="s">
        <v>157</v>
      </c>
      <c r="P97" s="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A7E5-5638-4823-BA00-90656CD85189}">
  <dimension ref="A1:T123"/>
  <sheetViews>
    <sheetView workbookViewId="0">
      <selection activeCell="H15" sqref="H15"/>
    </sheetView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</v>
      </c>
      <c r="B2">
        <v>500</v>
      </c>
      <c r="C2">
        <f>B2*(0.000000000001)*(1/$B$12)*6.022E+23</f>
        <v>106148205.59825145</v>
      </c>
      <c r="D2">
        <f>LOG10(C2)</f>
        <v>8.025912656953599</v>
      </c>
      <c r="E2">
        <v>18.837913513183594</v>
      </c>
    </row>
    <row r="3" spans="1:6" x14ac:dyDescent="0.3">
      <c r="A3">
        <v>10</v>
      </c>
      <c r="B3">
        <v>50</v>
      </c>
      <c r="C3">
        <f t="shared" ref="C3:C8" si="0">B3*(0.000000000001)*(1/$B$12)*6.022E+23</f>
        <v>10614820.559825143</v>
      </c>
      <c r="D3">
        <f t="shared" ref="D3:D8" si="1">LOG10(C3)</f>
        <v>7.0259126569535999</v>
      </c>
      <c r="E3">
        <v>25.188201904296875</v>
      </c>
    </row>
    <row r="4" spans="1:6" x14ac:dyDescent="0.3">
      <c r="A4">
        <v>1</v>
      </c>
      <c r="B4">
        <v>5</v>
      </c>
      <c r="C4">
        <f t="shared" si="0"/>
        <v>1061482.0559825143</v>
      </c>
      <c r="D4">
        <f t="shared" si="1"/>
        <v>6.0259126569535999</v>
      </c>
      <c r="E4">
        <v>29.996698379516602</v>
      </c>
    </row>
    <row r="5" spans="1:6" x14ac:dyDescent="0.3">
      <c r="A5">
        <v>0.1</v>
      </c>
      <c r="B5">
        <v>0.5</v>
      </c>
      <c r="C5">
        <f t="shared" si="0"/>
        <v>106148.20559825143</v>
      </c>
      <c r="D5">
        <f t="shared" si="1"/>
        <v>5.0259126569535999</v>
      </c>
      <c r="E5">
        <v>31.10444450378418</v>
      </c>
    </row>
    <row r="6" spans="1:6" x14ac:dyDescent="0.3">
      <c r="A6">
        <v>0.01</v>
      </c>
      <c r="B6">
        <v>0.05</v>
      </c>
      <c r="C6">
        <f t="shared" si="0"/>
        <v>10614.820559825144</v>
      </c>
      <c r="D6">
        <f t="shared" si="1"/>
        <v>4.0259126569535999</v>
      </c>
      <c r="E6">
        <v>35.555721282958984</v>
      </c>
    </row>
    <row r="7" spans="1:6" x14ac:dyDescent="0.3">
      <c r="A7">
        <v>1E-3</v>
      </c>
      <c r="B7">
        <v>5.0000000000000001E-3</v>
      </c>
      <c r="C7">
        <f t="shared" si="0"/>
        <v>1061.4820559825143</v>
      </c>
      <c r="D7">
        <f t="shared" si="1"/>
        <v>3.0259126569535995</v>
      </c>
    </row>
    <row r="8" spans="1:6" x14ac:dyDescent="0.3">
      <c r="A8">
        <v>1E-4</v>
      </c>
      <c r="B8">
        <v>5.0000000000000001E-4</v>
      </c>
      <c r="C8">
        <f t="shared" si="0"/>
        <v>106.14820559825145</v>
      </c>
      <c r="D8">
        <f t="shared" si="1"/>
        <v>2.0259126569535995</v>
      </c>
      <c r="E8">
        <v>38.692798614501953</v>
      </c>
    </row>
    <row r="10" spans="1:6" x14ac:dyDescent="0.3">
      <c r="A10" t="s">
        <v>6</v>
      </c>
      <c r="B10">
        <f>B14+B15</f>
        <v>4364</v>
      </c>
    </row>
    <row r="11" spans="1:6" x14ac:dyDescent="0.3">
      <c r="A11" t="s">
        <v>7</v>
      </c>
      <c r="B11">
        <v>650</v>
      </c>
    </row>
    <row r="12" spans="1:6" x14ac:dyDescent="0.3">
      <c r="A12" t="s">
        <v>8</v>
      </c>
      <c r="B12">
        <f>B10*B11</f>
        <v>2836600</v>
      </c>
    </row>
    <row r="14" spans="1:6" x14ac:dyDescent="0.3">
      <c r="A14" t="s">
        <v>9</v>
      </c>
      <c r="B14">
        <v>1027</v>
      </c>
    </row>
    <row r="15" spans="1:6" x14ac:dyDescent="0.3">
      <c r="A15" t="s">
        <v>10</v>
      </c>
      <c r="B15">
        <v>3337</v>
      </c>
    </row>
    <row r="27" spans="1:20" x14ac:dyDescent="0.3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K27" t="s">
        <v>16</v>
      </c>
      <c r="L27" t="s">
        <v>17</v>
      </c>
      <c r="M27" t="s">
        <v>18</v>
      </c>
      <c r="O27" t="s">
        <v>0</v>
      </c>
      <c r="P27" t="s">
        <v>1</v>
      </c>
      <c r="Q27" t="s">
        <v>19</v>
      </c>
      <c r="T27" t="s">
        <v>20</v>
      </c>
    </row>
    <row r="28" spans="1:20" x14ac:dyDescent="0.3">
      <c r="A28" s="1" t="s">
        <v>21</v>
      </c>
      <c r="B28" s="1" t="s">
        <v>22</v>
      </c>
      <c r="C28" s="1">
        <v>18.800619125366211</v>
      </c>
      <c r="D28" s="1">
        <v>18.837913513183594</v>
      </c>
      <c r="E28" s="1">
        <v>3.3773075789213181E-2</v>
      </c>
      <c r="F28" s="1">
        <f>(D28-47.016)/-3.1945</f>
        <v>8.8208127991286283</v>
      </c>
      <c r="G28" s="1">
        <f>10^F28</f>
        <v>661931119.48048532</v>
      </c>
      <c r="H28" s="2">
        <f>G28/5</f>
        <v>132386223.89609706</v>
      </c>
      <c r="K28">
        <f>(D28-63.875)/-5.5794</f>
        <v>8.0720304130939535</v>
      </c>
      <c r="L28">
        <f>10^K28</f>
        <v>118040329.4909057</v>
      </c>
      <c r="M28" s="3">
        <f>L28/5</f>
        <v>23608065.89818114</v>
      </c>
      <c r="O28">
        <v>100</v>
      </c>
      <c r="P28">
        <v>500</v>
      </c>
      <c r="Q28">
        <v>8.8208127991286283</v>
      </c>
      <c r="T28">
        <v>8.0720304130939535</v>
      </c>
    </row>
    <row r="29" spans="1:20" x14ac:dyDescent="0.3">
      <c r="A29" s="1" t="s">
        <v>23</v>
      </c>
      <c r="B29" s="1" t="s">
        <v>22</v>
      </c>
      <c r="C29" s="1">
        <v>18.846685409545898</v>
      </c>
      <c r="D29" s="1">
        <v>18.837913513183594</v>
      </c>
      <c r="E29" s="1">
        <v>3.3773075789213181E-2</v>
      </c>
      <c r="F29" s="1">
        <f t="shared" ref="F29:F92" si="2">(D29-47.016)/-3.1945</f>
        <v>8.8208127991286283</v>
      </c>
      <c r="G29" s="1">
        <f t="shared" ref="G29:G92" si="3">10^F29</f>
        <v>661931119.48048532</v>
      </c>
      <c r="H29" s="2">
        <f t="shared" ref="H29:H92" si="4">G29/5</f>
        <v>132386223.89609706</v>
      </c>
      <c r="K29">
        <f t="shared" ref="K29:K92" si="5">(D29-63.875)/-5.5794</f>
        <v>8.0720304130939535</v>
      </c>
      <c r="L29">
        <f t="shared" ref="L29:L92" si="6">10^K29</f>
        <v>118040329.4909057</v>
      </c>
      <c r="M29" s="3">
        <f t="shared" ref="M29:M92" si="7">L29/5</f>
        <v>23608065.89818114</v>
      </c>
      <c r="O29">
        <v>10</v>
      </c>
      <c r="P29">
        <v>50</v>
      </c>
      <c r="Q29">
        <v>6.8329310050721936</v>
      </c>
      <c r="T29">
        <v>6.9338635150200965</v>
      </c>
    </row>
    <row r="30" spans="1:20" x14ac:dyDescent="0.3">
      <c r="A30" s="1" t="s">
        <v>24</v>
      </c>
      <c r="B30" s="1" t="s">
        <v>22</v>
      </c>
      <c r="C30" s="1">
        <v>18.866434097290039</v>
      </c>
      <c r="D30" s="1">
        <v>18.837913513183594</v>
      </c>
      <c r="E30" s="1">
        <v>3.3773075789213181E-2</v>
      </c>
      <c r="F30" s="1">
        <f t="shared" si="2"/>
        <v>8.8208127991286283</v>
      </c>
      <c r="G30" s="1">
        <f t="shared" si="3"/>
        <v>661931119.48048532</v>
      </c>
      <c r="H30" s="2">
        <f t="shared" si="4"/>
        <v>132386223.89609706</v>
      </c>
      <c r="K30">
        <f t="shared" si="5"/>
        <v>8.0720304130939535</v>
      </c>
      <c r="L30">
        <f t="shared" si="6"/>
        <v>118040329.4909057</v>
      </c>
      <c r="M30" s="3">
        <f t="shared" si="7"/>
        <v>23608065.89818114</v>
      </c>
      <c r="O30">
        <v>1</v>
      </c>
      <c r="P30">
        <v>5</v>
      </c>
      <c r="Q30">
        <v>5.3276887213909516</v>
      </c>
      <c r="T30">
        <v>6.0720331255123128</v>
      </c>
    </row>
    <row r="31" spans="1:20" x14ac:dyDescent="0.3">
      <c r="A31" t="s">
        <v>25</v>
      </c>
      <c r="B31" t="s">
        <v>26</v>
      </c>
      <c r="C31">
        <v>18.351474761962891</v>
      </c>
      <c r="D31">
        <v>18.340600967407227</v>
      </c>
      <c r="E31">
        <v>1.5377867966890335E-2</v>
      </c>
      <c r="F31">
        <f t="shared" si="2"/>
        <v>8.976490540802244</v>
      </c>
      <c r="G31">
        <f t="shared" si="3"/>
        <v>947306551.36714113</v>
      </c>
      <c r="H31" s="3">
        <f t="shared" si="4"/>
        <v>189461310.27342823</v>
      </c>
      <c r="K31">
        <f t="shared" si="5"/>
        <v>8.1611641095086878</v>
      </c>
      <c r="L31">
        <f t="shared" si="6"/>
        <v>144931941.32629818</v>
      </c>
      <c r="M31" s="3">
        <f t="shared" si="7"/>
        <v>28986388.265259635</v>
      </c>
      <c r="O31">
        <v>0.1</v>
      </c>
      <c r="P31">
        <v>0.5</v>
      </c>
      <c r="Q31">
        <v>4.9809220523449111</v>
      </c>
      <c r="T31">
        <v>5.8734909660923798</v>
      </c>
    </row>
    <row r="32" spans="1:20" x14ac:dyDescent="0.3">
      <c r="A32" t="s">
        <v>27</v>
      </c>
      <c r="B32" t="s">
        <v>26</v>
      </c>
      <c r="C32">
        <v>18.329727172851563</v>
      </c>
      <c r="D32">
        <v>18.340600967407227</v>
      </c>
      <c r="E32">
        <v>1.5377867966890335E-2</v>
      </c>
      <c r="F32">
        <f t="shared" si="2"/>
        <v>8.976490540802244</v>
      </c>
      <c r="G32">
        <f t="shared" si="3"/>
        <v>947306551.36714113</v>
      </c>
      <c r="H32" s="3">
        <f t="shared" si="4"/>
        <v>189461310.27342823</v>
      </c>
      <c r="K32">
        <f t="shared" si="5"/>
        <v>8.1611641095086878</v>
      </c>
      <c r="L32">
        <f t="shared" si="6"/>
        <v>144931941.32629818</v>
      </c>
      <c r="M32" s="3">
        <f t="shared" si="7"/>
        <v>28986388.265259635</v>
      </c>
      <c r="O32">
        <v>0.01</v>
      </c>
      <c r="P32">
        <v>0.05</v>
      </c>
      <c r="Q32">
        <v>3.5875031200629248</v>
      </c>
      <c r="T32">
        <v>5.0756853276411471</v>
      </c>
    </row>
    <row r="33" spans="1:20" x14ac:dyDescent="0.3">
      <c r="A33" t="s">
        <v>28</v>
      </c>
      <c r="B33" t="s">
        <v>29</v>
      </c>
      <c r="C33">
        <v>18.472602844238281</v>
      </c>
      <c r="D33">
        <v>18.439369201660156</v>
      </c>
      <c r="E33">
        <v>4.7000817954540253E-2</v>
      </c>
      <c r="F33">
        <f t="shared" si="2"/>
        <v>8.9455723269180911</v>
      </c>
      <c r="G33">
        <f t="shared" si="3"/>
        <v>882210712.2901746</v>
      </c>
      <c r="H33" s="3">
        <f t="shared" si="4"/>
        <v>176442142.45803493</v>
      </c>
      <c r="K33">
        <f t="shared" si="5"/>
        <v>8.1434618056314019</v>
      </c>
      <c r="L33">
        <f t="shared" si="6"/>
        <v>139143141.89368314</v>
      </c>
      <c r="M33" s="3">
        <f t="shared" si="7"/>
        <v>27828628.378736626</v>
      </c>
      <c r="O33">
        <v>1E-3</v>
      </c>
      <c r="P33">
        <v>5.0000000000000001E-3</v>
      </c>
    </row>
    <row r="34" spans="1:20" x14ac:dyDescent="0.3">
      <c r="A34" t="s">
        <v>30</v>
      </c>
      <c r="B34" t="s">
        <v>29</v>
      </c>
      <c r="C34">
        <v>18.406133651733398</v>
      </c>
      <c r="D34">
        <v>18.439369201660156</v>
      </c>
      <c r="E34">
        <v>4.7000817954540253E-2</v>
      </c>
      <c r="F34">
        <f t="shared" si="2"/>
        <v>8.9455723269180911</v>
      </c>
      <c r="G34">
        <f t="shared" si="3"/>
        <v>882210712.2901746</v>
      </c>
      <c r="H34" s="3">
        <f t="shared" si="4"/>
        <v>176442142.45803493</v>
      </c>
      <c r="K34">
        <f t="shared" si="5"/>
        <v>8.1434618056314019</v>
      </c>
      <c r="L34">
        <f t="shared" si="6"/>
        <v>139143141.89368314</v>
      </c>
      <c r="M34" s="3">
        <f t="shared" si="7"/>
        <v>27828628.378736626</v>
      </c>
      <c r="O34">
        <v>1E-4</v>
      </c>
      <c r="P34">
        <v>5.0000000000000001E-4</v>
      </c>
      <c r="Q34">
        <v>2.6054785993107044</v>
      </c>
      <c r="T34">
        <v>4.5134246308739376</v>
      </c>
    </row>
    <row r="35" spans="1:20" x14ac:dyDescent="0.3">
      <c r="A35" t="s">
        <v>31</v>
      </c>
      <c r="B35" t="s">
        <v>32</v>
      </c>
      <c r="C35">
        <v>17.861560821533203</v>
      </c>
      <c r="D35">
        <v>17.877317428588867</v>
      </c>
      <c r="E35">
        <v>2.2283207625150681E-2</v>
      </c>
      <c r="F35">
        <f t="shared" si="2"/>
        <v>9.1215159090346312</v>
      </c>
      <c r="G35">
        <f t="shared" si="3"/>
        <v>1322866166.2314043</v>
      </c>
      <c r="H35" s="3">
        <f t="shared" si="4"/>
        <v>264573233.24628085</v>
      </c>
      <c r="K35">
        <f t="shared" si="5"/>
        <v>8.2441987617684944</v>
      </c>
      <c r="L35">
        <f t="shared" si="6"/>
        <v>175468337.68243942</v>
      </c>
      <c r="M35" s="3">
        <f t="shared" si="7"/>
        <v>35093667.536487885</v>
      </c>
    </row>
    <row r="36" spans="1:20" x14ac:dyDescent="0.3">
      <c r="A36" t="s">
        <v>33</v>
      </c>
      <c r="B36" t="s">
        <v>32</v>
      </c>
      <c r="C36">
        <v>17.893074035644531</v>
      </c>
      <c r="D36">
        <v>17.877317428588867</v>
      </c>
      <c r="E36">
        <v>2.2283207625150681E-2</v>
      </c>
      <c r="F36">
        <f t="shared" si="2"/>
        <v>9.1215159090346312</v>
      </c>
      <c r="G36">
        <f t="shared" si="3"/>
        <v>1322866166.2314043</v>
      </c>
      <c r="H36" s="3">
        <f t="shared" si="4"/>
        <v>264573233.24628085</v>
      </c>
      <c r="K36">
        <f t="shared" si="5"/>
        <v>8.2441987617684944</v>
      </c>
      <c r="L36">
        <f t="shared" si="6"/>
        <v>175468337.68243942</v>
      </c>
      <c r="M36" s="3">
        <f t="shared" si="7"/>
        <v>35093667.536487885</v>
      </c>
    </row>
    <row r="37" spans="1:20" x14ac:dyDescent="0.3">
      <c r="A37" t="s">
        <v>34</v>
      </c>
      <c r="B37" t="s">
        <v>35</v>
      </c>
      <c r="C37">
        <v>16.206552505493164</v>
      </c>
      <c r="D37">
        <v>16.249885559082031</v>
      </c>
      <c r="E37">
        <v>6.1280842870473862E-2</v>
      </c>
      <c r="F37">
        <f t="shared" si="2"/>
        <v>9.6309639821311528</v>
      </c>
      <c r="G37">
        <f t="shared" si="3"/>
        <v>4275274280.3266687</v>
      </c>
      <c r="H37" s="3">
        <f t="shared" si="4"/>
        <v>855054856.06533372</v>
      </c>
      <c r="K37">
        <f t="shared" si="5"/>
        <v>8.5358845827361307</v>
      </c>
      <c r="L37">
        <f t="shared" si="6"/>
        <v>343466656.73349518</v>
      </c>
      <c r="M37" s="3">
        <f t="shared" si="7"/>
        <v>68693331.346699029</v>
      </c>
    </row>
    <row r="38" spans="1:20" x14ac:dyDescent="0.3">
      <c r="A38" t="s">
        <v>36</v>
      </c>
      <c r="B38" t="s">
        <v>35</v>
      </c>
      <c r="C38">
        <v>16.293216705322266</v>
      </c>
      <c r="D38">
        <v>16.249885559082031</v>
      </c>
      <c r="E38">
        <v>6.1280842870473862E-2</v>
      </c>
      <c r="F38">
        <f t="shared" si="2"/>
        <v>9.6309639821311528</v>
      </c>
      <c r="G38">
        <f t="shared" si="3"/>
        <v>4275274280.3266687</v>
      </c>
      <c r="H38" s="3">
        <f t="shared" si="4"/>
        <v>855054856.06533372</v>
      </c>
      <c r="K38">
        <f t="shared" si="5"/>
        <v>8.5358845827361307</v>
      </c>
      <c r="L38">
        <f t="shared" si="6"/>
        <v>343466656.73349518</v>
      </c>
      <c r="M38" s="3">
        <f t="shared" si="7"/>
        <v>68693331.346699029</v>
      </c>
    </row>
    <row r="39" spans="1:20" x14ac:dyDescent="0.3">
      <c r="A39" t="s">
        <v>37</v>
      </c>
      <c r="B39" t="s">
        <v>38</v>
      </c>
      <c r="C39" t="s">
        <v>38</v>
      </c>
      <c r="D39" t="s">
        <v>38</v>
      </c>
      <c r="E39" t="s">
        <v>38</v>
      </c>
      <c r="H39" s="3"/>
      <c r="M39" s="3"/>
    </row>
    <row r="40" spans="1:20" x14ac:dyDescent="0.3">
      <c r="A40" s="1" t="s">
        <v>39</v>
      </c>
      <c r="B40" s="1" t="s">
        <v>40</v>
      </c>
      <c r="C40" s="1">
        <v>25.200143814086914</v>
      </c>
      <c r="D40" s="1">
        <v>25.188201904296875</v>
      </c>
      <c r="E40" s="1">
        <v>3.6844439804553986E-2</v>
      </c>
      <c r="F40" s="1">
        <f t="shared" si="2"/>
        <v>6.8329310050721936</v>
      </c>
      <c r="G40" s="1">
        <f t="shared" si="3"/>
        <v>6806612.1570792217</v>
      </c>
      <c r="H40" s="2">
        <f t="shared" si="4"/>
        <v>1361322.4314158442</v>
      </c>
      <c r="K40">
        <f t="shared" si="5"/>
        <v>6.9338635150200965</v>
      </c>
      <c r="L40">
        <f t="shared" si="6"/>
        <v>8587436.0321897287</v>
      </c>
      <c r="M40" s="3">
        <f t="shared" si="7"/>
        <v>1717487.2064379458</v>
      </c>
    </row>
    <row r="41" spans="1:20" x14ac:dyDescent="0.3">
      <c r="A41" s="1" t="s">
        <v>41</v>
      </c>
      <c r="B41" s="1" t="s">
        <v>40</v>
      </c>
      <c r="C41" s="1">
        <v>25.146867752075195</v>
      </c>
      <c r="D41" s="1">
        <v>25.188201904296875</v>
      </c>
      <c r="E41" s="1">
        <v>3.6844439804553986E-2</v>
      </c>
      <c r="F41" s="1">
        <f t="shared" si="2"/>
        <v>6.8329310050721936</v>
      </c>
      <c r="G41" s="1">
        <f t="shared" si="3"/>
        <v>6806612.1570792217</v>
      </c>
      <c r="H41" s="2">
        <f t="shared" si="4"/>
        <v>1361322.4314158442</v>
      </c>
      <c r="K41">
        <f t="shared" si="5"/>
        <v>6.9338635150200965</v>
      </c>
      <c r="L41">
        <f t="shared" si="6"/>
        <v>8587436.0321897287</v>
      </c>
      <c r="M41" s="3">
        <f t="shared" si="7"/>
        <v>1717487.2064379458</v>
      </c>
    </row>
    <row r="42" spans="1:20" x14ac:dyDescent="0.3">
      <c r="A42" s="1" t="s">
        <v>42</v>
      </c>
      <c r="B42" s="1" t="s">
        <v>40</v>
      </c>
      <c r="C42" s="1">
        <v>25.217594146728516</v>
      </c>
      <c r="D42" s="1">
        <v>25.188201904296875</v>
      </c>
      <c r="E42" s="1">
        <v>3.6844439804553986E-2</v>
      </c>
      <c r="F42" s="1">
        <f t="shared" si="2"/>
        <v>6.8329310050721936</v>
      </c>
      <c r="G42" s="1">
        <f t="shared" si="3"/>
        <v>6806612.1570792217</v>
      </c>
      <c r="H42" s="2">
        <f t="shared" si="4"/>
        <v>1361322.4314158442</v>
      </c>
      <c r="K42">
        <f t="shared" si="5"/>
        <v>6.9338635150200965</v>
      </c>
      <c r="L42">
        <f t="shared" si="6"/>
        <v>8587436.0321897287</v>
      </c>
      <c r="M42" s="3">
        <f t="shared" si="7"/>
        <v>1717487.2064379458</v>
      </c>
    </row>
    <row r="43" spans="1:20" x14ac:dyDescent="0.3">
      <c r="A43" t="s">
        <v>43</v>
      </c>
      <c r="B43" t="s">
        <v>44</v>
      </c>
      <c r="C43">
        <v>18.592643737792969</v>
      </c>
      <c r="D43">
        <v>18.615421295166016</v>
      </c>
      <c r="E43">
        <v>3.2210983335971832E-2</v>
      </c>
      <c r="F43">
        <f t="shared" si="2"/>
        <v>8.8904613256641039</v>
      </c>
      <c r="G43">
        <f t="shared" si="3"/>
        <v>777072116.70279145</v>
      </c>
      <c r="H43" s="3">
        <f t="shared" si="4"/>
        <v>155414423.34055829</v>
      </c>
      <c r="K43">
        <f t="shared" si="5"/>
        <v>8.1119078583421125</v>
      </c>
      <c r="L43">
        <f t="shared" si="6"/>
        <v>129392128.87993912</v>
      </c>
      <c r="M43" s="3">
        <f t="shared" si="7"/>
        <v>25878425.775987826</v>
      </c>
    </row>
    <row r="44" spans="1:20" x14ac:dyDescent="0.3">
      <c r="A44" t="s">
        <v>45</v>
      </c>
      <c r="B44" t="s">
        <v>44</v>
      </c>
      <c r="C44">
        <v>18.63819694519043</v>
      </c>
      <c r="D44">
        <v>18.615421295166016</v>
      </c>
      <c r="E44">
        <v>3.2210983335971832E-2</v>
      </c>
      <c r="F44">
        <f t="shared" si="2"/>
        <v>8.8904613256641039</v>
      </c>
      <c r="G44">
        <f t="shared" si="3"/>
        <v>777072116.70279145</v>
      </c>
      <c r="H44" s="3">
        <f t="shared" si="4"/>
        <v>155414423.34055829</v>
      </c>
      <c r="K44">
        <f t="shared" si="5"/>
        <v>8.1119078583421125</v>
      </c>
      <c r="L44">
        <f t="shared" si="6"/>
        <v>129392128.87993912</v>
      </c>
      <c r="M44" s="3">
        <f t="shared" si="7"/>
        <v>25878425.775987826</v>
      </c>
    </row>
    <row r="45" spans="1:20" x14ac:dyDescent="0.3">
      <c r="A45" t="s">
        <v>46</v>
      </c>
      <c r="B45" t="s">
        <v>47</v>
      </c>
      <c r="C45">
        <v>21.327125549316406</v>
      </c>
      <c r="D45">
        <v>21.328659057617188</v>
      </c>
      <c r="E45">
        <v>2.1673594601452351E-3</v>
      </c>
      <c r="F45">
        <f t="shared" si="2"/>
        <v>8.041114710403134</v>
      </c>
      <c r="G45">
        <f t="shared" si="3"/>
        <v>109929615.86945172</v>
      </c>
      <c r="H45" s="3">
        <f t="shared" si="4"/>
        <v>21985923.173890345</v>
      </c>
      <c r="K45">
        <f t="shared" si="5"/>
        <v>7.6256122418867287</v>
      </c>
      <c r="L45">
        <f t="shared" si="6"/>
        <v>42229140.468244724</v>
      </c>
      <c r="M45" s="3">
        <f t="shared" si="7"/>
        <v>8445828.0936489441</v>
      </c>
    </row>
    <row r="46" spans="1:20" x14ac:dyDescent="0.3">
      <c r="A46" t="s">
        <v>48</v>
      </c>
      <c r="B46" t="s">
        <v>47</v>
      </c>
      <c r="C46">
        <v>21.330190658569336</v>
      </c>
      <c r="D46">
        <v>21.328659057617188</v>
      </c>
      <c r="E46">
        <v>2.1673594601452351E-3</v>
      </c>
      <c r="F46">
        <f t="shared" si="2"/>
        <v>8.041114710403134</v>
      </c>
      <c r="G46">
        <f t="shared" si="3"/>
        <v>109929615.86945172</v>
      </c>
      <c r="H46" s="3">
        <f t="shared" si="4"/>
        <v>21985923.173890345</v>
      </c>
      <c r="K46">
        <f t="shared" si="5"/>
        <v>7.6256122418867287</v>
      </c>
      <c r="L46">
        <f t="shared" si="6"/>
        <v>42229140.468244724</v>
      </c>
      <c r="M46" s="3">
        <f t="shared" si="7"/>
        <v>8445828.0936489441</v>
      </c>
    </row>
    <row r="47" spans="1:20" x14ac:dyDescent="0.3">
      <c r="A47" t="s">
        <v>49</v>
      </c>
      <c r="B47" t="s">
        <v>50</v>
      </c>
      <c r="C47">
        <v>16.673233032226563</v>
      </c>
      <c r="D47">
        <v>16.679111480712891</v>
      </c>
      <c r="E47">
        <v>8.3133811131119728E-3</v>
      </c>
      <c r="F47">
        <f t="shared" si="2"/>
        <v>9.4965999434299917</v>
      </c>
      <c r="G47">
        <f t="shared" si="3"/>
        <v>3137617101.4213281</v>
      </c>
      <c r="H47" s="3">
        <f t="shared" si="4"/>
        <v>627523420.28426564</v>
      </c>
      <c r="K47">
        <f t="shared" si="5"/>
        <v>8.4589541024639043</v>
      </c>
      <c r="L47">
        <f t="shared" si="6"/>
        <v>287709433.87577051</v>
      </c>
      <c r="M47" s="3">
        <f t="shared" si="7"/>
        <v>57541886.775154099</v>
      </c>
    </row>
    <row r="48" spans="1:20" x14ac:dyDescent="0.3">
      <c r="A48" t="s">
        <v>51</v>
      </c>
      <c r="B48" t="s">
        <v>50</v>
      </c>
      <c r="C48">
        <v>16.684989929199219</v>
      </c>
      <c r="D48">
        <v>16.679111480712891</v>
      </c>
      <c r="E48">
        <v>8.3133811131119728E-3</v>
      </c>
      <c r="F48">
        <f t="shared" si="2"/>
        <v>9.4965999434299917</v>
      </c>
      <c r="G48">
        <f t="shared" si="3"/>
        <v>3137617101.4213281</v>
      </c>
      <c r="H48" s="3">
        <f t="shared" si="4"/>
        <v>627523420.28426564</v>
      </c>
      <c r="K48">
        <f t="shared" si="5"/>
        <v>8.4589541024639043</v>
      </c>
      <c r="L48">
        <f t="shared" si="6"/>
        <v>287709433.87577051</v>
      </c>
      <c r="M48" s="3">
        <f t="shared" si="7"/>
        <v>57541886.775154099</v>
      </c>
    </row>
    <row r="49" spans="1:13" x14ac:dyDescent="0.3">
      <c r="A49" t="s">
        <v>52</v>
      </c>
      <c r="B49" t="s">
        <v>53</v>
      </c>
      <c r="C49">
        <v>15.996855735778809</v>
      </c>
      <c r="D49">
        <v>16.00389289855957</v>
      </c>
      <c r="E49">
        <v>9.9527258425951004E-3</v>
      </c>
      <c r="F49">
        <f t="shared" si="2"/>
        <v>9.7079690409893331</v>
      </c>
      <c r="G49">
        <f t="shared" si="3"/>
        <v>5104686095.3738518</v>
      </c>
      <c r="H49" s="3">
        <f t="shared" si="4"/>
        <v>1020937219.0747703</v>
      </c>
      <c r="K49">
        <f t="shared" si="5"/>
        <v>8.5799740297237044</v>
      </c>
      <c r="L49">
        <f t="shared" si="6"/>
        <v>380166662.14163643</v>
      </c>
      <c r="M49" s="3">
        <f t="shared" si="7"/>
        <v>76033332.428327292</v>
      </c>
    </row>
    <row r="50" spans="1:13" x14ac:dyDescent="0.3">
      <c r="A50" t="s">
        <v>54</v>
      </c>
      <c r="B50" t="s">
        <v>53</v>
      </c>
      <c r="C50">
        <v>16.010931015014648</v>
      </c>
      <c r="D50">
        <v>16.00389289855957</v>
      </c>
      <c r="E50">
        <v>9.9527258425951004E-3</v>
      </c>
      <c r="F50">
        <f t="shared" si="2"/>
        <v>9.7079690409893331</v>
      </c>
      <c r="G50">
        <f t="shared" si="3"/>
        <v>5104686095.3738518</v>
      </c>
      <c r="H50" s="3">
        <f t="shared" si="4"/>
        <v>1020937219.0747703</v>
      </c>
      <c r="K50">
        <f t="shared" si="5"/>
        <v>8.5799740297237044</v>
      </c>
      <c r="L50">
        <f t="shared" si="6"/>
        <v>380166662.14163643</v>
      </c>
      <c r="M50" s="3">
        <f t="shared" si="7"/>
        <v>76033332.428327292</v>
      </c>
    </row>
    <row r="51" spans="1:13" x14ac:dyDescent="0.3">
      <c r="A51" t="s">
        <v>55</v>
      </c>
      <c r="B51" t="s">
        <v>38</v>
      </c>
      <c r="C51" t="s">
        <v>38</v>
      </c>
      <c r="D51" t="s">
        <v>38</v>
      </c>
      <c r="E51" t="s">
        <v>38</v>
      </c>
      <c r="H51" s="3"/>
      <c r="M51" s="3"/>
    </row>
    <row r="52" spans="1:13" x14ac:dyDescent="0.3">
      <c r="A52" s="1" t="s">
        <v>56</v>
      </c>
      <c r="B52" s="1" t="s">
        <v>57</v>
      </c>
      <c r="C52" s="1">
        <v>29.920780181884766</v>
      </c>
      <c r="D52" s="1">
        <v>29.996698379516602</v>
      </c>
      <c r="E52" s="1">
        <v>8.1139452755451202E-2</v>
      </c>
      <c r="F52" s="1">
        <f t="shared" si="2"/>
        <v>5.3276887213909516</v>
      </c>
      <c r="G52" s="1">
        <f t="shared" si="3"/>
        <v>212661.4258437703</v>
      </c>
      <c r="H52" s="2">
        <f t="shared" si="4"/>
        <v>42532.285168754061</v>
      </c>
      <c r="K52">
        <f t="shared" si="5"/>
        <v>6.0720331255123128</v>
      </c>
      <c r="L52">
        <f t="shared" si="6"/>
        <v>1180410.6672283004</v>
      </c>
      <c r="M52" s="3">
        <f t="shared" si="7"/>
        <v>236082.13344566006</v>
      </c>
    </row>
    <row r="53" spans="1:13" x14ac:dyDescent="0.3">
      <c r="A53" s="1" t="s">
        <v>58</v>
      </c>
      <c r="B53" s="1" t="s">
        <v>57</v>
      </c>
      <c r="C53" s="1">
        <v>29.98710823059082</v>
      </c>
      <c r="D53" s="1">
        <v>29.996698379516602</v>
      </c>
      <c r="E53" s="1">
        <v>8.1139452755451202E-2</v>
      </c>
      <c r="F53" s="1">
        <f t="shared" si="2"/>
        <v>5.3276887213909516</v>
      </c>
      <c r="G53" s="1">
        <f t="shared" si="3"/>
        <v>212661.4258437703</v>
      </c>
      <c r="H53" s="2">
        <f t="shared" si="4"/>
        <v>42532.285168754061</v>
      </c>
      <c r="K53">
        <f t="shared" si="5"/>
        <v>6.0720331255123128</v>
      </c>
      <c r="L53">
        <f t="shared" si="6"/>
        <v>1180410.6672283004</v>
      </c>
      <c r="M53" s="3">
        <f t="shared" si="7"/>
        <v>236082.13344566006</v>
      </c>
    </row>
    <row r="54" spans="1:13" x14ac:dyDescent="0.3">
      <c r="A54" s="1" t="s">
        <v>59</v>
      </c>
      <c r="B54" s="1" t="s">
        <v>57</v>
      </c>
      <c r="C54" s="1">
        <v>30.082206726074219</v>
      </c>
      <c r="D54" s="1">
        <v>29.996698379516602</v>
      </c>
      <c r="E54" s="1">
        <v>8.1139452755451202E-2</v>
      </c>
      <c r="F54" s="1">
        <f t="shared" si="2"/>
        <v>5.3276887213909516</v>
      </c>
      <c r="G54" s="1">
        <f t="shared" si="3"/>
        <v>212661.4258437703</v>
      </c>
      <c r="H54" s="2">
        <f t="shared" si="4"/>
        <v>42532.285168754061</v>
      </c>
      <c r="K54">
        <f t="shared" si="5"/>
        <v>6.0720331255123128</v>
      </c>
      <c r="L54">
        <f t="shared" si="6"/>
        <v>1180410.6672283004</v>
      </c>
      <c r="M54" s="3">
        <f t="shared" si="7"/>
        <v>236082.13344566006</v>
      </c>
    </row>
    <row r="55" spans="1:13" x14ac:dyDescent="0.3">
      <c r="A55" t="s">
        <v>60</v>
      </c>
      <c r="B55" t="s">
        <v>61</v>
      </c>
      <c r="C55">
        <v>18.315181732177734</v>
      </c>
      <c r="D55">
        <v>18.29820442199707</v>
      </c>
      <c r="E55">
        <v>2.4009542539715767E-2</v>
      </c>
      <c r="F55">
        <f t="shared" si="2"/>
        <v>8.9897622720309673</v>
      </c>
      <c r="G55">
        <f t="shared" si="3"/>
        <v>976702438.55052638</v>
      </c>
      <c r="H55" s="3">
        <f t="shared" si="4"/>
        <v>195340487.71010527</v>
      </c>
      <c r="K55">
        <f t="shared" si="5"/>
        <v>8.1687628737862372</v>
      </c>
      <c r="L55">
        <f t="shared" si="6"/>
        <v>147490101.25895602</v>
      </c>
      <c r="M55" s="3">
        <f t="shared" si="7"/>
        <v>29498020.251791202</v>
      </c>
    </row>
    <row r="56" spans="1:13" x14ac:dyDescent="0.3">
      <c r="A56" t="s">
        <v>62</v>
      </c>
      <c r="B56" t="s">
        <v>61</v>
      </c>
      <c r="C56">
        <v>18.281227111816406</v>
      </c>
      <c r="D56">
        <v>18.29820442199707</v>
      </c>
      <c r="E56">
        <v>2.4009542539715767E-2</v>
      </c>
      <c r="F56">
        <f t="shared" si="2"/>
        <v>8.9897622720309673</v>
      </c>
      <c r="G56">
        <f t="shared" si="3"/>
        <v>976702438.55052638</v>
      </c>
      <c r="H56" s="3">
        <f t="shared" si="4"/>
        <v>195340487.71010527</v>
      </c>
      <c r="K56">
        <f t="shared" si="5"/>
        <v>8.1687628737862372</v>
      </c>
      <c r="L56">
        <f t="shared" si="6"/>
        <v>147490101.25895602</v>
      </c>
      <c r="M56" s="3">
        <f t="shared" si="7"/>
        <v>29498020.251791202</v>
      </c>
    </row>
    <row r="57" spans="1:13" x14ac:dyDescent="0.3">
      <c r="A57" t="s">
        <v>63</v>
      </c>
      <c r="B57" t="s">
        <v>64</v>
      </c>
      <c r="C57">
        <v>19.437259674072266</v>
      </c>
      <c r="D57">
        <v>19.429904937744141</v>
      </c>
      <c r="E57">
        <v>1.0402516461908817E-2</v>
      </c>
      <c r="F57">
        <f t="shared" si="2"/>
        <v>8.6354969673676187</v>
      </c>
      <c r="G57">
        <f t="shared" si="3"/>
        <v>432013150.90552193</v>
      </c>
      <c r="H57" s="3">
        <f t="shared" si="4"/>
        <v>86402630.181104392</v>
      </c>
      <c r="K57">
        <f t="shared" si="5"/>
        <v>7.9659273510154964</v>
      </c>
      <c r="L57">
        <f t="shared" si="6"/>
        <v>92454350.293132484</v>
      </c>
      <c r="M57" s="3">
        <f t="shared" si="7"/>
        <v>18490870.058626495</v>
      </c>
    </row>
    <row r="58" spans="1:13" x14ac:dyDescent="0.3">
      <c r="A58" t="s">
        <v>65</v>
      </c>
      <c r="B58" t="s">
        <v>64</v>
      </c>
      <c r="C58">
        <v>19.422548294067383</v>
      </c>
      <c r="D58">
        <v>19.429904937744141</v>
      </c>
      <c r="E58">
        <v>1.0402516461908817E-2</v>
      </c>
      <c r="F58">
        <f t="shared" si="2"/>
        <v>8.6354969673676187</v>
      </c>
      <c r="G58">
        <f t="shared" si="3"/>
        <v>432013150.90552193</v>
      </c>
      <c r="H58" s="3">
        <f t="shared" si="4"/>
        <v>86402630.181104392</v>
      </c>
      <c r="K58">
        <f t="shared" si="5"/>
        <v>7.9659273510154964</v>
      </c>
      <c r="L58">
        <f t="shared" si="6"/>
        <v>92454350.293132484</v>
      </c>
      <c r="M58" s="3">
        <f t="shared" si="7"/>
        <v>18490870.058626495</v>
      </c>
    </row>
    <row r="59" spans="1:13" x14ac:dyDescent="0.3">
      <c r="A59" t="s">
        <v>66</v>
      </c>
      <c r="B59" t="s">
        <v>67</v>
      </c>
      <c r="C59">
        <v>17.614236831665039</v>
      </c>
      <c r="D59">
        <v>17.632198333740234</v>
      </c>
      <c r="E59">
        <v>2.5400051847100258E-2</v>
      </c>
      <c r="F59">
        <f t="shared" si="2"/>
        <v>9.1982475086116029</v>
      </c>
      <c r="G59">
        <f t="shared" si="3"/>
        <v>1578510621.8196595</v>
      </c>
      <c r="H59" s="3">
        <f t="shared" si="4"/>
        <v>315702124.36393189</v>
      </c>
      <c r="K59">
        <f t="shared" si="5"/>
        <v>8.2881316389324606</v>
      </c>
      <c r="L59">
        <f t="shared" si="6"/>
        <v>194147426.83764863</v>
      </c>
      <c r="M59" s="3">
        <f t="shared" si="7"/>
        <v>38829485.367529728</v>
      </c>
    </row>
    <row r="60" spans="1:13" x14ac:dyDescent="0.3">
      <c r="A60" t="s">
        <v>68</v>
      </c>
      <c r="B60" t="s">
        <v>67</v>
      </c>
      <c r="C60">
        <v>17.650157928466797</v>
      </c>
      <c r="D60">
        <v>17.632198333740234</v>
      </c>
      <c r="E60">
        <v>2.5400051847100258E-2</v>
      </c>
      <c r="F60">
        <f t="shared" si="2"/>
        <v>9.1982475086116029</v>
      </c>
      <c r="G60">
        <f t="shared" si="3"/>
        <v>1578510621.8196595</v>
      </c>
      <c r="H60" s="3">
        <f t="shared" si="4"/>
        <v>315702124.36393189</v>
      </c>
      <c r="K60">
        <f t="shared" si="5"/>
        <v>8.2881316389324606</v>
      </c>
      <c r="L60">
        <f t="shared" si="6"/>
        <v>194147426.83764863</v>
      </c>
      <c r="M60" s="3">
        <f t="shared" si="7"/>
        <v>38829485.367529728</v>
      </c>
    </row>
    <row r="61" spans="1:13" x14ac:dyDescent="0.3">
      <c r="A61" t="s">
        <v>69</v>
      </c>
      <c r="B61" t="s">
        <v>70</v>
      </c>
      <c r="C61">
        <v>26.446403503417969</v>
      </c>
      <c r="D61">
        <v>26.496952056884766</v>
      </c>
      <c r="E61">
        <v>7.1487799286842346E-2</v>
      </c>
      <c r="F61">
        <f t="shared" si="2"/>
        <v>6.4232424301503306</v>
      </c>
      <c r="G61">
        <f t="shared" si="3"/>
        <v>2649978.9866130929</v>
      </c>
      <c r="H61" s="3">
        <f t="shared" si="4"/>
        <v>529995.79732261854</v>
      </c>
      <c r="K61">
        <f t="shared" si="5"/>
        <v>6.6992952545283071</v>
      </c>
      <c r="L61">
        <f t="shared" si="6"/>
        <v>5003745.983760247</v>
      </c>
      <c r="M61" s="3">
        <f t="shared" si="7"/>
        <v>1000749.1967520494</v>
      </c>
    </row>
    <row r="62" spans="1:13" x14ac:dyDescent="0.3">
      <c r="A62" t="s">
        <v>71</v>
      </c>
      <c r="B62" t="s">
        <v>70</v>
      </c>
      <c r="C62">
        <v>26.547502517700195</v>
      </c>
      <c r="D62">
        <v>26.496952056884766</v>
      </c>
      <c r="E62">
        <v>7.1487799286842346E-2</v>
      </c>
      <c r="F62">
        <f t="shared" si="2"/>
        <v>6.4232424301503306</v>
      </c>
      <c r="G62">
        <f t="shared" si="3"/>
        <v>2649978.9866130929</v>
      </c>
      <c r="H62" s="3">
        <f t="shared" si="4"/>
        <v>529995.79732261854</v>
      </c>
      <c r="K62">
        <f t="shared" si="5"/>
        <v>6.6992952545283071</v>
      </c>
      <c r="L62">
        <f t="shared" si="6"/>
        <v>5003745.983760247</v>
      </c>
      <c r="M62" s="3">
        <f t="shared" si="7"/>
        <v>1000749.1967520494</v>
      </c>
    </row>
    <row r="63" spans="1:13" x14ac:dyDescent="0.3">
      <c r="A63" t="s">
        <v>72</v>
      </c>
      <c r="B63" t="s">
        <v>38</v>
      </c>
      <c r="C63" t="s">
        <v>38</v>
      </c>
      <c r="D63" t="s">
        <v>38</v>
      </c>
      <c r="E63" t="s">
        <v>38</v>
      </c>
      <c r="H63" s="3"/>
      <c r="M63" s="3"/>
    </row>
    <row r="64" spans="1:13" x14ac:dyDescent="0.3">
      <c r="A64" s="1" t="s">
        <v>73</v>
      </c>
      <c r="B64" s="1" t="s">
        <v>74</v>
      </c>
      <c r="C64" s="1">
        <v>31.261405944824219</v>
      </c>
      <c r="D64" s="1">
        <v>31.10444450378418</v>
      </c>
      <c r="E64" s="1">
        <v>0.20857235789299011</v>
      </c>
      <c r="F64" s="1">
        <f t="shared" si="2"/>
        <v>4.9809220523449111</v>
      </c>
      <c r="G64" s="1">
        <f t="shared" si="3"/>
        <v>95702.228845809208</v>
      </c>
      <c r="H64" s="2">
        <f t="shared" si="4"/>
        <v>19140.445769161841</v>
      </c>
      <c r="K64">
        <f t="shared" si="5"/>
        <v>5.8734909660923798</v>
      </c>
      <c r="L64">
        <f t="shared" si="6"/>
        <v>747293.08933120966</v>
      </c>
      <c r="M64" s="3">
        <f t="shared" si="7"/>
        <v>149458.61786624193</v>
      </c>
    </row>
    <row r="65" spans="1:13" x14ac:dyDescent="0.3">
      <c r="A65" s="1" t="s">
        <v>75</v>
      </c>
      <c r="B65" s="1" t="s">
        <v>74</v>
      </c>
      <c r="C65" s="1">
        <v>30.867771148681641</v>
      </c>
      <c r="D65" s="1">
        <v>31.10444450378418</v>
      </c>
      <c r="E65" s="1">
        <v>0.20857235789299011</v>
      </c>
      <c r="F65" s="1">
        <f t="shared" si="2"/>
        <v>4.9809220523449111</v>
      </c>
      <c r="G65" s="1">
        <f t="shared" si="3"/>
        <v>95702.228845809208</v>
      </c>
      <c r="H65" s="2">
        <f t="shared" si="4"/>
        <v>19140.445769161841</v>
      </c>
      <c r="K65">
        <f t="shared" si="5"/>
        <v>5.8734909660923798</v>
      </c>
      <c r="L65">
        <f t="shared" si="6"/>
        <v>747293.08933120966</v>
      </c>
      <c r="M65" s="3">
        <f t="shared" si="7"/>
        <v>149458.61786624193</v>
      </c>
    </row>
    <row r="66" spans="1:13" x14ac:dyDescent="0.3">
      <c r="A66" s="1" t="s">
        <v>76</v>
      </c>
      <c r="B66" s="1" t="s">
        <v>74</v>
      </c>
      <c r="C66" s="1">
        <v>31.184154510498047</v>
      </c>
      <c r="D66" s="1">
        <v>31.10444450378418</v>
      </c>
      <c r="E66" s="1">
        <v>0.20857235789299011</v>
      </c>
      <c r="F66" s="1">
        <f t="shared" si="2"/>
        <v>4.9809220523449111</v>
      </c>
      <c r="G66" s="1">
        <f t="shared" si="3"/>
        <v>95702.228845809208</v>
      </c>
      <c r="H66" s="2">
        <f t="shared" si="4"/>
        <v>19140.445769161841</v>
      </c>
      <c r="K66">
        <f t="shared" si="5"/>
        <v>5.8734909660923798</v>
      </c>
      <c r="L66">
        <f t="shared" si="6"/>
        <v>747293.08933120966</v>
      </c>
      <c r="M66" s="3">
        <f t="shared" si="7"/>
        <v>149458.61786624193</v>
      </c>
    </row>
    <row r="67" spans="1:13" x14ac:dyDescent="0.3">
      <c r="A67" t="s">
        <v>77</v>
      </c>
      <c r="B67" t="s">
        <v>78</v>
      </c>
      <c r="C67">
        <v>18.122129440307617</v>
      </c>
      <c r="D67">
        <v>18.102497100830078</v>
      </c>
      <c r="E67">
        <v>2.7762971818447113E-2</v>
      </c>
      <c r="F67">
        <f t="shared" si="2"/>
        <v>9.0510261071121985</v>
      </c>
      <c r="G67">
        <f t="shared" si="3"/>
        <v>1124672580.3307037</v>
      </c>
      <c r="H67" s="3">
        <f t="shared" si="4"/>
        <v>224934516.06614074</v>
      </c>
      <c r="K67">
        <f t="shared" si="5"/>
        <v>8.2038396421066651</v>
      </c>
      <c r="L67">
        <f t="shared" si="6"/>
        <v>159896752.05212206</v>
      </c>
      <c r="M67" s="3">
        <f t="shared" si="7"/>
        <v>31979350.410424411</v>
      </c>
    </row>
    <row r="68" spans="1:13" x14ac:dyDescent="0.3">
      <c r="A68" t="s">
        <v>79</v>
      </c>
      <c r="B68" t="s">
        <v>78</v>
      </c>
      <c r="C68">
        <v>18.082866668701172</v>
      </c>
      <c r="D68">
        <v>18.102497100830078</v>
      </c>
      <c r="E68">
        <v>2.7762971818447113E-2</v>
      </c>
      <c r="F68">
        <f t="shared" si="2"/>
        <v>9.0510261071121985</v>
      </c>
      <c r="G68">
        <f t="shared" si="3"/>
        <v>1124672580.3307037</v>
      </c>
      <c r="H68" s="3">
        <f t="shared" si="4"/>
        <v>224934516.06614074</v>
      </c>
      <c r="K68">
        <f t="shared" si="5"/>
        <v>8.2038396421066651</v>
      </c>
      <c r="L68">
        <f t="shared" si="6"/>
        <v>159896752.05212206</v>
      </c>
      <c r="M68" s="3">
        <f t="shared" si="7"/>
        <v>31979350.410424411</v>
      </c>
    </row>
    <row r="69" spans="1:13" x14ac:dyDescent="0.3">
      <c r="A69" t="s">
        <v>80</v>
      </c>
      <c r="B69" t="s">
        <v>81</v>
      </c>
      <c r="C69">
        <v>21.417999267578125</v>
      </c>
      <c r="D69">
        <v>21.433603286743164</v>
      </c>
      <c r="E69">
        <v>2.2067416459321976E-2</v>
      </c>
      <c r="F69">
        <f t="shared" si="2"/>
        <v>8.0082631752251778</v>
      </c>
      <c r="G69">
        <f t="shared" si="3"/>
        <v>101920882.4535297</v>
      </c>
      <c r="H69" s="3">
        <f t="shared" si="4"/>
        <v>20384176.490705941</v>
      </c>
      <c r="K69">
        <f t="shared" si="5"/>
        <v>7.6068030098678783</v>
      </c>
      <c r="L69">
        <f t="shared" si="6"/>
        <v>40439242.313045904</v>
      </c>
      <c r="M69" s="3">
        <f t="shared" si="7"/>
        <v>8087848.4626091812</v>
      </c>
    </row>
    <row r="70" spans="1:13" x14ac:dyDescent="0.3">
      <c r="A70" t="s">
        <v>82</v>
      </c>
      <c r="B70" t="s">
        <v>81</v>
      </c>
      <c r="C70">
        <v>21.449207305908203</v>
      </c>
      <c r="D70">
        <v>21.433603286743164</v>
      </c>
      <c r="E70">
        <v>2.2067416459321976E-2</v>
      </c>
      <c r="F70">
        <f t="shared" si="2"/>
        <v>8.0082631752251778</v>
      </c>
      <c r="G70">
        <f t="shared" si="3"/>
        <v>101920882.4535297</v>
      </c>
      <c r="H70" s="3">
        <f t="shared" si="4"/>
        <v>20384176.490705941</v>
      </c>
      <c r="K70">
        <f t="shared" si="5"/>
        <v>7.6068030098678783</v>
      </c>
      <c r="L70">
        <f t="shared" si="6"/>
        <v>40439242.313045904</v>
      </c>
      <c r="M70" s="3">
        <f t="shared" si="7"/>
        <v>8087848.4626091812</v>
      </c>
    </row>
    <row r="71" spans="1:13" x14ac:dyDescent="0.3">
      <c r="A71" t="s">
        <v>83</v>
      </c>
      <c r="B71" t="s">
        <v>84</v>
      </c>
      <c r="C71">
        <v>17.503612518310547</v>
      </c>
      <c r="D71">
        <v>17.497371673583984</v>
      </c>
      <c r="E71">
        <v>8.8245384395122528E-3</v>
      </c>
      <c r="F71">
        <f t="shared" si="2"/>
        <v>9.240453381254035</v>
      </c>
      <c r="G71">
        <f t="shared" si="3"/>
        <v>1739615951.325264</v>
      </c>
      <c r="H71" s="3">
        <f t="shared" si="4"/>
        <v>347923190.2650528</v>
      </c>
      <c r="K71">
        <f t="shared" si="5"/>
        <v>8.3122967212273746</v>
      </c>
      <c r="L71">
        <f t="shared" si="6"/>
        <v>205256406.47476518</v>
      </c>
      <c r="M71" s="3">
        <f t="shared" si="7"/>
        <v>41051281.294953033</v>
      </c>
    </row>
    <row r="72" spans="1:13" x14ac:dyDescent="0.3">
      <c r="A72" t="s">
        <v>85</v>
      </c>
      <c r="B72" t="s">
        <v>84</v>
      </c>
      <c r="C72">
        <v>17.491132736206055</v>
      </c>
      <c r="D72">
        <v>17.497371673583984</v>
      </c>
      <c r="E72">
        <v>8.8245384395122528E-3</v>
      </c>
      <c r="F72">
        <f t="shared" si="2"/>
        <v>9.240453381254035</v>
      </c>
      <c r="G72">
        <f t="shared" si="3"/>
        <v>1739615951.325264</v>
      </c>
      <c r="H72" s="3">
        <f t="shared" si="4"/>
        <v>347923190.2650528</v>
      </c>
      <c r="K72">
        <f t="shared" si="5"/>
        <v>8.3122967212273746</v>
      </c>
      <c r="L72">
        <f t="shared" si="6"/>
        <v>205256406.47476518</v>
      </c>
      <c r="M72" s="3">
        <f t="shared" si="7"/>
        <v>41051281.294953033</v>
      </c>
    </row>
    <row r="73" spans="1:13" x14ac:dyDescent="0.3">
      <c r="A73" t="s">
        <v>86</v>
      </c>
      <c r="B73" t="s">
        <v>87</v>
      </c>
      <c r="C73">
        <v>16.369733810424805</v>
      </c>
      <c r="D73">
        <v>16.402259826660156</v>
      </c>
      <c r="E73">
        <v>4.6000082045793533E-2</v>
      </c>
      <c r="F73">
        <f t="shared" si="2"/>
        <v>9.5832650409578459</v>
      </c>
      <c r="G73">
        <f t="shared" si="3"/>
        <v>3830584446.5991879</v>
      </c>
      <c r="H73" s="3">
        <f t="shared" si="4"/>
        <v>766116889.31983757</v>
      </c>
      <c r="K73">
        <f t="shared" si="5"/>
        <v>8.5085744297486912</v>
      </c>
      <c r="L73">
        <f t="shared" si="6"/>
        <v>322533203.20329148</v>
      </c>
      <c r="M73" s="3">
        <f t="shared" si="7"/>
        <v>64506640.640658297</v>
      </c>
    </row>
    <row r="74" spans="1:13" x14ac:dyDescent="0.3">
      <c r="A74" t="s">
        <v>88</v>
      </c>
      <c r="B74" t="s">
        <v>87</v>
      </c>
      <c r="C74">
        <v>16.434787750244141</v>
      </c>
      <c r="D74">
        <v>16.402259826660156</v>
      </c>
      <c r="E74">
        <v>4.6000082045793533E-2</v>
      </c>
      <c r="F74">
        <f t="shared" si="2"/>
        <v>9.5832650409578459</v>
      </c>
      <c r="G74">
        <f t="shared" si="3"/>
        <v>3830584446.5991879</v>
      </c>
      <c r="H74" s="3">
        <f t="shared" si="4"/>
        <v>766116889.31983757</v>
      </c>
      <c r="K74">
        <f t="shared" si="5"/>
        <v>8.5085744297486912</v>
      </c>
      <c r="L74">
        <f t="shared" si="6"/>
        <v>322533203.20329148</v>
      </c>
      <c r="M74" s="3">
        <f t="shared" si="7"/>
        <v>64506640.640658297</v>
      </c>
    </row>
    <row r="75" spans="1:13" x14ac:dyDescent="0.3">
      <c r="A75" t="s">
        <v>89</v>
      </c>
      <c r="B75" t="s">
        <v>38</v>
      </c>
      <c r="C75" t="s">
        <v>38</v>
      </c>
      <c r="D75" t="s">
        <v>38</v>
      </c>
      <c r="E75" t="s">
        <v>38</v>
      </c>
      <c r="H75" s="3"/>
      <c r="M75" s="3"/>
    </row>
    <row r="76" spans="1:13" x14ac:dyDescent="0.3">
      <c r="A76" s="1" t="s">
        <v>90</v>
      </c>
      <c r="B76" s="1" t="s">
        <v>91</v>
      </c>
      <c r="C76" s="1">
        <v>35.321071624755859</v>
      </c>
      <c r="D76" s="1">
        <v>35.555721282958984</v>
      </c>
      <c r="E76" s="1">
        <v>0.32960787415504456</v>
      </c>
      <c r="F76" s="1">
        <f t="shared" si="2"/>
        <v>3.5875031200629248</v>
      </c>
      <c r="G76" s="1">
        <f t="shared" si="3"/>
        <v>3868.148335822124</v>
      </c>
      <c r="H76" s="2">
        <f t="shared" si="4"/>
        <v>773.62966716442475</v>
      </c>
      <c r="K76">
        <f t="shared" si="5"/>
        <v>5.0756853276411471</v>
      </c>
      <c r="L76">
        <f t="shared" si="6"/>
        <v>119037.91944755951</v>
      </c>
      <c r="M76" s="3">
        <f t="shared" si="7"/>
        <v>23807.583889511901</v>
      </c>
    </row>
    <row r="77" spans="1:13" x14ac:dyDescent="0.3">
      <c r="A77" s="1" t="s">
        <v>92</v>
      </c>
      <c r="B77" s="1" t="s">
        <v>91</v>
      </c>
      <c r="C77" s="1">
        <v>35.413532257080078</v>
      </c>
      <c r="D77" s="1">
        <v>35.555721282958984</v>
      </c>
      <c r="E77" s="1">
        <v>0.32960787415504456</v>
      </c>
      <c r="F77" s="1">
        <f t="shared" si="2"/>
        <v>3.5875031200629248</v>
      </c>
      <c r="G77" s="1">
        <f t="shared" si="3"/>
        <v>3868.148335822124</v>
      </c>
      <c r="H77" s="2">
        <f t="shared" si="4"/>
        <v>773.62966716442475</v>
      </c>
      <c r="K77">
        <f t="shared" si="5"/>
        <v>5.0756853276411471</v>
      </c>
      <c r="L77">
        <f t="shared" si="6"/>
        <v>119037.91944755951</v>
      </c>
      <c r="M77" s="3">
        <f t="shared" si="7"/>
        <v>23807.583889511901</v>
      </c>
    </row>
    <row r="78" spans="1:13" x14ac:dyDescent="0.3">
      <c r="A78" s="1" t="s">
        <v>93</v>
      </c>
      <c r="B78" s="1" t="s">
        <v>91</v>
      </c>
      <c r="C78" s="1">
        <v>35.93255615234375</v>
      </c>
      <c r="D78" s="1">
        <v>35.555721282958984</v>
      </c>
      <c r="E78" s="1">
        <v>0.32960787415504456</v>
      </c>
      <c r="F78" s="1">
        <f t="shared" si="2"/>
        <v>3.5875031200629248</v>
      </c>
      <c r="G78" s="1">
        <f t="shared" si="3"/>
        <v>3868.148335822124</v>
      </c>
      <c r="H78" s="2">
        <f t="shared" si="4"/>
        <v>773.62966716442475</v>
      </c>
      <c r="K78">
        <f t="shared" si="5"/>
        <v>5.0756853276411471</v>
      </c>
      <c r="L78">
        <f t="shared" si="6"/>
        <v>119037.91944755951</v>
      </c>
      <c r="M78" s="3">
        <f t="shared" si="7"/>
        <v>23807.583889511901</v>
      </c>
    </row>
    <row r="79" spans="1:13" x14ac:dyDescent="0.3">
      <c r="A79" t="s">
        <v>94</v>
      </c>
      <c r="B79" t="s">
        <v>95</v>
      </c>
      <c r="C79">
        <v>20.036647796630859</v>
      </c>
      <c r="D79">
        <v>20.014261245727539</v>
      </c>
      <c r="E79">
        <v>3.1659364700317383E-2</v>
      </c>
      <c r="F79">
        <f t="shared" si="2"/>
        <v>8.4525712174902043</v>
      </c>
      <c r="G79">
        <f t="shared" si="3"/>
        <v>283511851.03854609</v>
      </c>
      <c r="H79" s="3">
        <f t="shared" si="4"/>
        <v>56702370.207709216</v>
      </c>
      <c r="K79">
        <f t="shared" si="5"/>
        <v>7.8611927365437975</v>
      </c>
      <c r="L79">
        <f t="shared" si="6"/>
        <v>72642826.917713717</v>
      </c>
      <c r="M79" s="3">
        <f t="shared" si="7"/>
        <v>14528565.383542743</v>
      </c>
    </row>
    <row r="80" spans="1:13" x14ac:dyDescent="0.3">
      <c r="A80" t="s">
        <v>96</v>
      </c>
      <c r="B80" t="s">
        <v>95</v>
      </c>
      <c r="C80">
        <v>19.991874694824219</v>
      </c>
      <c r="D80">
        <v>20.014261245727539</v>
      </c>
      <c r="E80">
        <v>3.1659364700317383E-2</v>
      </c>
      <c r="F80">
        <f t="shared" si="2"/>
        <v>8.4525712174902043</v>
      </c>
      <c r="G80">
        <f t="shared" si="3"/>
        <v>283511851.03854609</v>
      </c>
      <c r="H80" s="3">
        <f t="shared" si="4"/>
        <v>56702370.207709216</v>
      </c>
      <c r="K80">
        <f t="shared" si="5"/>
        <v>7.8611927365437975</v>
      </c>
      <c r="L80">
        <f t="shared" si="6"/>
        <v>72642826.917713717</v>
      </c>
      <c r="M80" s="3">
        <f t="shared" si="7"/>
        <v>14528565.383542743</v>
      </c>
    </row>
    <row r="81" spans="1:13" x14ac:dyDescent="0.3">
      <c r="A81" t="s">
        <v>97</v>
      </c>
      <c r="B81" t="s">
        <v>98</v>
      </c>
      <c r="C81">
        <v>16.828580856323242</v>
      </c>
      <c r="D81">
        <v>16.837608337402344</v>
      </c>
      <c r="E81">
        <v>1.2768134474754333E-2</v>
      </c>
      <c r="F81">
        <f t="shared" si="2"/>
        <v>9.4469843989975431</v>
      </c>
      <c r="G81">
        <f t="shared" si="3"/>
        <v>2798880774.6540375</v>
      </c>
      <c r="H81" s="3">
        <f t="shared" si="4"/>
        <v>559776154.93080747</v>
      </c>
      <c r="K81">
        <f t="shared" si="5"/>
        <v>8.430546593289181</v>
      </c>
      <c r="L81">
        <f t="shared" si="6"/>
        <v>269492444.18456966</v>
      </c>
      <c r="M81" s="3">
        <f t="shared" si="7"/>
        <v>53898488.836913928</v>
      </c>
    </row>
    <row r="82" spans="1:13" x14ac:dyDescent="0.3">
      <c r="A82" t="s">
        <v>99</v>
      </c>
      <c r="B82" t="s">
        <v>98</v>
      </c>
      <c r="C82">
        <v>16.846637725830078</v>
      </c>
      <c r="D82">
        <v>16.837608337402344</v>
      </c>
      <c r="E82">
        <v>1.2768134474754333E-2</v>
      </c>
      <c r="F82">
        <f t="shared" si="2"/>
        <v>9.4469843989975431</v>
      </c>
      <c r="G82">
        <f t="shared" si="3"/>
        <v>2798880774.6540375</v>
      </c>
      <c r="H82" s="3">
        <f t="shared" si="4"/>
        <v>559776154.93080747</v>
      </c>
      <c r="K82">
        <f t="shared" si="5"/>
        <v>8.430546593289181</v>
      </c>
      <c r="L82">
        <f t="shared" si="6"/>
        <v>269492444.18456966</v>
      </c>
      <c r="M82" s="3">
        <f t="shared" si="7"/>
        <v>53898488.836913928</v>
      </c>
    </row>
    <row r="83" spans="1:13" x14ac:dyDescent="0.3">
      <c r="A83" t="s">
        <v>100</v>
      </c>
      <c r="B83" t="s">
        <v>101</v>
      </c>
      <c r="C83">
        <v>17.539981842041016</v>
      </c>
      <c r="D83">
        <v>17.561670303344727</v>
      </c>
      <c r="E83">
        <v>3.0672116205096245E-2</v>
      </c>
      <c r="F83">
        <f t="shared" si="2"/>
        <v>9.2203254645970478</v>
      </c>
      <c r="G83">
        <f t="shared" si="3"/>
        <v>1660831084.4858882</v>
      </c>
      <c r="H83" s="3">
        <f t="shared" si="4"/>
        <v>332166216.89717764</v>
      </c>
      <c r="K83">
        <f t="shared" si="5"/>
        <v>8.3007724301278412</v>
      </c>
      <c r="L83">
        <f t="shared" si="6"/>
        <v>199881421.85304609</v>
      </c>
      <c r="M83" s="3">
        <f t="shared" si="7"/>
        <v>39976284.370609216</v>
      </c>
    </row>
    <row r="84" spans="1:13" x14ac:dyDescent="0.3">
      <c r="A84" t="s">
        <v>102</v>
      </c>
      <c r="B84" t="s">
        <v>101</v>
      </c>
      <c r="C84">
        <v>17.583358764648438</v>
      </c>
      <c r="D84">
        <v>17.561670303344727</v>
      </c>
      <c r="E84">
        <v>3.0672116205096245E-2</v>
      </c>
      <c r="F84">
        <f t="shared" si="2"/>
        <v>9.2203254645970478</v>
      </c>
      <c r="G84">
        <f t="shared" si="3"/>
        <v>1660831084.4858882</v>
      </c>
      <c r="H84" s="3">
        <f t="shared" si="4"/>
        <v>332166216.89717764</v>
      </c>
      <c r="K84">
        <f t="shared" si="5"/>
        <v>8.3007724301278412</v>
      </c>
      <c r="L84">
        <f t="shared" si="6"/>
        <v>199881421.85304609</v>
      </c>
      <c r="M84" s="3">
        <f t="shared" si="7"/>
        <v>39976284.370609216</v>
      </c>
    </row>
    <row r="85" spans="1:13" x14ac:dyDescent="0.3">
      <c r="A85" t="s">
        <v>103</v>
      </c>
      <c r="B85" t="s">
        <v>104</v>
      </c>
      <c r="C85">
        <v>17.497171401977539</v>
      </c>
      <c r="D85">
        <v>17.48375129699707</v>
      </c>
      <c r="E85">
        <v>1.8978893756866455E-2</v>
      </c>
      <c r="F85">
        <f t="shared" si="2"/>
        <v>9.2447170771647915</v>
      </c>
      <c r="G85">
        <f t="shared" si="3"/>
        <v>1756778780.7030571</v>
      </c>
      <c r="H85" s="3">
        <f t="shared" si="4"/>
        <v>351355756.14061141</v>
      </c>
      <c r="K85">
        <f t="shared" si="5"/>
        <v>8.3147379114246931</v>
      </c>
      <c r="L85">
        <f t="shared" si="6"/>
        <v>206413411.3638871</v>
      </c>
      <c r="M85" s="3">
        <f t="shared" si="7"/>
        <v>41282682.272777423</v>
      </c>
    </row>
    <row r="86" spans="1:13" x14ac:dyDescent="0.3">
      <c r="A86" t="s">
        <v>105</v>
      </c>
      <c r="B86" t="s">
        <v>104</v>
      </c>
      <c r="C86">
        <v>17.470331192016602</v>
      </c>
      <c r="D86">
        <v>17.48375129699707</v>
      </c>
      <c r="E86">
        <v>1.8978893756866455E-2</v>
      </c>
      <c r="F86">
        <f t="shared" si="2"/>
        <v>9.2447170771647915</v>
      </c>
      <c r="G86">
        <f t="shared" si="3"/>
        <v>1756778780.7030571</v>
      </c>
      <c r="H86" s="3">
        <f t="shared" si="4"/>
        <v>351355756.14061141</v>
      </c>
      <c r="K86">
        <f t="shared" si="5"/>
        <v>8.3147379114246931</v>
      </c>
      <c r="L86">
        <f t="shared" si="6"/>
        <v>206413411.3638871</v>
      </c>
      <c r="M86" s="3">
        <f t="shared" si="7"/>
        <v>41282682.272777423</v>
      </c>
    </row>
    <row r="87" spans="1:13" x14ac:dyDescent="0.3">
      <c r="A87" t="s">
        <v>106</v>
      </c>
      <c r="B87" t="s">
        <v>38</v>
      </c>
      <c r="C87" t="s">
        <v>38</v>
      </c>
      <c r="D87" t="s">
        <v>38</v>
      </c>
      <c r="E87" t="s">
        <v>38</v>
      </c>
      <c r="H87" s="3"/>
      <c r="M87" s="3"/>
    </row>
    <row r="88" spans="1:13" x14ac:dyDescent="0.3">
      <c r="A88" s="4" t="s">
        <v>107</v>
      </c>
      <c r="B88" s="4" t="s">
        <v>108</v>
      </c>
      <c r="C88" s="4">
        <v>35.995510101318359</v>
      </c>
      <c r="D88" s="4">
        <v>35.957595825195313</v>
      </c>
      <c r="E88" s="4">
        <v>0.87156176567077637</v>
      </c>
      <c r="F88" s="4">
        <f t="shared" si="2"/>
        <v>3.4617011033979295</v>
      </c>
      <c r="G88" s="4">
        <f t="shared" si="3"/>
        <v>2895.3502208730306</v>
      </c>
      <c r="H88" s="5">
        <f t="shared" si="4"/>
        <v>579.0700441746061</v>
      </c>
      <c r="K88">
        <f t="shared" si="5"/>
        <v>5.0036570553831394</v>
      </c>
      <c r="L88">
        <f t="shared" si="6"/>
        <v>100845.62348707693</v>
      </c>
      <c r="M88" s="3">
        <f t="shared" si="7"/>
        <v>20169.124697415384</v>
      </c>
    </row>
    <row r="89" spans="1:13" x14ac:dyDescent="0.3">
      <c r="A89" s="4" t="s">
        <v>109</v>
      </c>
      <c r="B89" s="4" t="s">
        <v>108</v>
      </c>
      <c r="C89" s="4">
        <v>36.809581756591797</v>
      </c>
      <c r="D89" s="4">
        <v>35.957595825195313</v>
      </c>
      <c r="E89" s="4">
        <v>0.87156176567077637</v>
      </c>
      <c r="F89" s="4">
        <f t="shared" si="2"/>
        <v>3.4617011033979295</v>
      </c>
      <c r="G89" s="4">
        <f t="shared" si="3"/>
        <v>2895.3502208730306</v>
      </c>
      <c r="H89" s="5">
        <f t="shared" si="4"/>
        <v>579.0700441746061</v>
      </c>
      <c r="K89">
        <f t="shared" si="5"/>
        <v>5.0036570553831394</v>
      </c>
      <c r="L89">
        <f t="shared" si="6"/>
        <v>100845.62348707693</v>
      </c>
      <c r="M89" s="3">
        <f t="shared" si="7"/>
        <v>20169.124697415384</v>
      </c>
    </row>
    <row r="90" spans="1:13" x14ac:dyDescent="0.3">
      <c r="A90" s="4" t="s">
        <v>110</v>
      </c>
      <c r="B90" s="4" t="s">
        <v>108</v>
      </c>
      <c r="C90" s="4">
        <v>35.067695617675781</v>
      </c>
      <c r="D90" s="4">
        <v>35.957595825195313</v>
      </c>
      <c r="E90" s="4">
        <v>0.87156176567077637</v>
      </c>
      <c r="F90" s="4">
        <f t="shared" si="2"/>
        <v>3.4617011033979295</v>
      </c>
      <c r="G90" s="4">
        <f t="shared" si="3"/>
        <v>2895.3502208730306</v>
      </c>
      <c r="H90" s="5">
        <f t="shared" si="4"/>
        <v>579.0700441746061</v>
      </c>
      <c r="K90">
        <f t="shared" si="5"/>
        <v>5.0036570553831394</v>
      </c>
      <c r="L90">
        <f t="shared" si="6"/>
        <v>100845.62348707693</v>
      </c>
      <c r="M90" s="3">
        <f t="shared" si="7"/>
        <v>20169.124697415384</v>
      </c>
    </row>
    <row r="91" spans="1:13" x14ac:dyDescent="0.3">
      <c r="A91" t="s">
        <v>111</v>
      </c>
      <c r="B91" t="s">
        <v>112</v>
      </c>
      <c r="C91">
        <v>19.231359481811523</v>
      </c>
      <c r="D91">
        <v>19.214569091796875</v>
      </c>
      <c r="E91">
        <v>2.3743849247694016E-2</v>
      </c>
      <c r="F91">
        <f t="shared" si="2"/>
        <v>8.7029052772587647</v>
      </c>
      <c r="G91">
        <f t="shared" si="3"/>
        <v>504551239.31781441</v>
      </c>
      <c r="H91" s="3">
        <f t="shared" si="4"/>
        <v>100910247.86356288</v>
      </c>
      <c r="K91">
        <f t="shared" si="5"/>
        <v>8.004522154389921</v>
      </c>
      <c r="L91">
        <f t="shared" si="6"/>
        <v>101046704.55302432</v>
      </c>
      <c r="M91" s="3">
        <f t="shared" si="7"/>
        <v>20209340.910604864</v>
      </c>
    </row>
    <row r="92" spans="1:13" x14ac:dyDescent="0.3">
      <c r="A92" t="s">
        <v>113</v>
      </c>
      <c r="B92" t="s">
        <v>112</v>
      </c>
      <c r="C92">
        <v>19.197780609130859</v>
      </c>
      <c r="D92">
        <v>19.214569091796875</v>
      </c>
      <c r="E92">
        <v>2.3743849247694016E-2</v>
      </c>
      <c r="F92">
        <f t="shared" si="2"/>
        <v>8.7029052772587647</v>
      </c>
      <c r="G92">
        <f t="shared" si="3"/>
        <v>504551239.31781441</v>
      </c>
      <c r="H92" s="3">
        <f t="shared" si="4"/>
        <v>100910247.86356288</v>
      </c>
      <c r="K92">
        <f t="shared" si="5"/>
        <v>8.004522154389921</v>
      </c>
      <c r="L92">
        <f t="shared" si="6"/>
        <v>101046704.55302432</v>
      </c>
      <c r="M92" s="3">
        <f t="shared" si="7"/>
        <v>20209340.910604864</v>
      </c>
    </row>
    <row r="93" spans="1:13" x14ac:dyDescent="0.3">
      <c r="A93" t="s">
        <v>114</v>
      </c>
      <c r="B93" t="s">
        <v>115</v>
      </c>
      <c r="C93">
        <v>21.866287231445313</v>
      </c>
      <c r="D93">
        <v>21.917228698730469</v>
      </c>
      <c r="E93">
        <v>7.2040766477584839E-2</v>
      </c>
      <c r="F93">
        <f t="shared" ref="F93:F122" si="8">(D93-47.016)/-3.1945</f>
        <v>7.8568700270056437</v>
      </c>
      <c r="G93">
        <f t="shared" ref="G93:G122" si="9">10^F93</f>
        <v>71923369.793255508</v>
      </c>
      <c r="H93" s="3">
        <f t="shared" ref="H93:H122" si="10">G93/5</f>
        <v>14384673.958651101</v>
      </c>
      <c r="K93">
        <f t="shared" ref="K93:K122" si="11">(D93-63.875)/-5.5794</f>
        <v>7.5201224685933132</v>
      </c>
      <c r="L93">
        <f t="shared" ref="L93:L122" si="12">10^K93</f>
        <v>33122451.175753053</v>
      </c>
      <c r="M93" s="3">
        <f t="shared" ref="M93:M122" si="13">L93/5</f>
        <v>6624490.235150611</v>
      </c>
    </row>
    <row r="94" spans="1:13" x14ac:dyDescent="0.3">
      <c r="A94" t="s">
        <v>116</v>
      </c>
      <c r="B94" t="s">
        <v>115</v>
      </c>
      <c r="C94">
        <v>21.968168258666992</v>
      </c>
      <c r="D94">
        <v>21.917228698730469</v>
      </c>
      <c r="E94">
        <v>7.2040766477584839E-2</v>
      </c>
      <c r="F94">
        <f t="shared" si="8"/>
        <v>7.8568700270056437</v>
      </c>
      <c r="G94">
        <f t="shared" si="9"/>
        <v>71923369.793255508</v>
      </c>
      <c r="H94" s="3">
        <f t="shared" si="10"/>
        <v>14384673.958651101</v>
      </c>
      <c r="K94">
        <f t="shared" si="11"/>
        <v>7.5201224685933132</v>
      </c>
      <c r="L94">
        <f t="shared" si="12"/>
        <v>33122451.175753053</v>
      </c>
      <c r="M94" s="3">
        <f t="shared" si="13"/>
        <v>6624490.235150611</v>
      </c>
    </row>
    <row r="95" spans="1:13" x14ac:dyDescent="0.3">
      <c r="A95" t="s">
        <v>117</v>
      </c>
      <c r="B95" t="s">
        <v>118</v>
      </c>
      <c r="C95">
        <v>17.623620986938477</v>
      </c>
      <c r="D95">
        <v>17.625404357910156</v>
      </c>
      <c r="E95">
        <v>2.5234161876142025E-3</v>
      </c>
      <c r="F95">
        <f t="shared" si="8"/>
        <v>9.2003742814493155</v>
      </c>
      <c r="G95">
        <f t="shared" si="9"/>
        <v>1586259665.745683</v>
      </c>
      <c r="H95" s="3">
        <f t="shared" si="10"/>
        <v>317251933.1491366</v>
      </c>
      <c r="K95">
        <f t="shared" si="11"/>
        <v>8.2893493282592843</v>
      </c>
      <c r="L95">
        <f t="shared" si="12"/>
        <v>194692547.71345004</v>
      </c>
      <c r="M95" s="3">
        <f t="shared" si="13"/>
        <v>38938509.542690009</v>
      </c>
    </row>
    <row r="96" spans="1:13" x14ac:dyDescent="0.3">
      <c r="A96" t="s">
        <v>119</v>
      </c>
      <c r="B96" t="s">
        <v>118</v>
      </c>
      <c r="C96">
        <v>17.627189636230469</v>
      </c>
      <c r="D96">
        <v>17.625404357910156</v>
      </c>
      <c r="E96">
        <v>2.5234161876142025E-3</v>
      </c>
      <c r="F96">
        <f t="shared" si="8"/>
        <v>9.2003742814493155</v>
      </c>
      <c r="G96">
        <f t="shared" si="9"/>
        <v>1586259665.745683</v>
      </c>
      <c r="H96" s="3">
        <f t="shared" si="10"/>
        <v>317251933.1491366</v>
      </c>
      <c r="K96">
        <f t="shared" si="11"/>
        <v>8.2893493282592843</v>
      </c>
      <c r="L96">
        <f t="shared" si="12"/>
        <v>194692547.71345004</v>
      </c>
      <c r="M96" s="3">
        <f t="shared" si="13"/>
        <v>38938509.542690009</v>
      </c>
    </row>
    <row r="97" spans="1:13" x14ac:dyDescent="0.3">
      <c r="A97" t="s">
        <v>120</v>
      </c>
      <c r="B97" t="s">
        <v>121</v>
      </c>
      <c r="C97">
        <v>17.628232955932617</v>
      </c>
      <c r="D97">
        <v>17.665290832519531</v>
      </c>
      <c r="E97">
        <v>5.2409101277589798E-2</v>
      </c>
      <c r="F97">
        <f t="shared" si="8"/>
        <v>9.1878882978495753</v>
      </c>
      <c r="G97">
        <f t="shared" si="9"/>
        <v>1541303972.8691266</v>
      </c>
      <c r="H97" s="3">
        <f t="shared" si="10"/>
        <v>308260794.5738253</v>
      </c>
      <c r="K97">
        <f t="shared" si="11"/>
        <v>8.2822004458329701</v>
      </c>
      <c r="L97">
        <f t="shared" si="12"/>
        <v>191513964.14882097</v>
      </c>
      <c r="M97" s="3">
        <f t="shared" si="13"/>
        <v>38302792.829764195</v>
      </c>
    </row>
    <row r="98" spans="1:13" x14ac:dyDescent="0.3">
      <c r="A98" t="s">
        <v>122</v>
      </c>
      <c r="B98" t="s">
        <v>121</v>
      </c>
      <c r="C98">
        <v>17.702350616455078</v>
      </c>
      <c r="D98">
        <v>17.665290832519531</v>
      </c>
      <c r="E98">
        <v>5.2409101277589798E-2</v>
      </c>
      <c r="F98">
        <f t="shared" si="8"/>
        <v>9.1878882978495753</v>
      </c>
      <c r="G98">
        <f t="shared" si="9"/>
        <v>1541303972.8691266</v>
      </c>
      <c r="H98" s="3">
        <f t="shared" si="10"/>
        <v>308260794.5738253</v>
      </c>
      <c r="K98">
        <f t="shared" si="11"/>
        <v>8.2822004458329701</v>
      </c>
      <c r="L98">
        <f t="shared" si="12"/>
        <v>191513964.14882097</v>
      </c>
      <c r="M98" s="3">
        <f t="shared" si="13"/>
        <v>38302792.829764195</v>
      </c>
    </row>
    <row r="99" spans="1:13" x14ac:dyDescent="0.3">
      <c r="A99" t="s">
        <v>123</v>
      </c>
      <c r="B99" t="s">
        <v>38</v>
      </c>
      <c r="C99" t="s">
        <v>38</v>
      </c>
      <c r="D99" t="s">
        <v>38</v>
      </c>
      <c r="E99" t="s">
        <v>38</v>
      </c>
      <c r="H99" s="3"/>
      <c r="M99" s="3"/>
    </row>
    <row r="100" spans="1:13" x14ac:dyDescent="0.3">
      <c r="A100" s="1" t="s">
        <v>124</v>
      </c>
      <c r="B100" s="1" t="s">
        <v>125</v>
      </c>
      <c r="C100" s="1">
        <v>38.906600952148438</v>
      </c>
      <c r="D100" s="1">
        <v>38.692798614501953</v>
      </c>
      <c r="E100" s="1">
        <v>0.34760373830795288</v>
      </c>
      <c r="F100" s="1">
        <f t="shared" si="8"/>
        <v>2.6054785993107044</v>
      </c>
      <c r="G100" s="1">
        <f t="shared" si="9"/>
        <v>403.1610794224955</v>
      </c>
      <c r="H100" s="2">
        <f t="shared" si="10"/>
        <v>80.632215884499104</v>
      </c>
      <c r="K100">
        <f t="shared" si="11"/>
        <v>4.5134246308739376</v>
      </c>
      <c r="L100">
        <f t="shared" si="12"/>
        <v>32615.544321896283</v>
      </c>
      <c r="M100" s="3">
        <f t="shared" si="13"/>
        <v>6523.1088643792564</v>
      </c>
    </row>
    <row r="101" spans="1:13" x14ac:dyDescent="0.3">
      <c r="A101" s="1" t="s">
        <v>126</v>
      </c>
      <c r="B101" s="1" t="s">
        <v>125</v>
      </c>
      <c r="C101" s="1">
        <v>38.880084991455078</v>
      </c>
      <c r="D101" s="1">
        <v>38.692798614501953</v>
      </c>
      <c r="E101" s="1">
        <v>0.34760373830795288</v>
      </c>
      <c r="F101" s="1">
        <f t="shared" si="8"/>
        <v>2.6054785993107044</v>
      </c>
      <c r="G101" s="1">
        <f t="shared" si="9"/>
        <v>403.1610794224955</v>
      </c>
      <c r="H101" s="2">
        <f t="shared" si="10"/>
        <v>80.632215884499104</v>
      </c>
      <c r="K101">
        <f t="shared" si="11"/>
        <v>4.5134246308739376</v>
      </c>
      <c r="L101">
        <f t="shared" si="12"/>
        <v>32615.544321896283</v>
      </c>
      <c r="M101" s="3">
        <f t="shared" si="13"/>
        <v>6523.1088643792564</v>
      </c>
    </row>
    <row r="102" spans="1:13" x14ac:dyDescent="0.3">
      <c r="A102" s="1" t="s">
        <v>127</v>
      </c>
      <c r="B102" s="1" t="s">
        <v>125</v>
      </c>
      <c r="C102" s="1">
        <v>38.291713714599609</v>
      </c>
      <c r="D102" s="1">
        <v>38.692798614501953</v>
      </c>
      <c r="E102" s="1">
        <v>0.34760373830795288</v>
      </c>
      <c r="F102" s="1">
        <f t="shared" si="8"/>
        <v>2.6054785993107044</v>
      </c>
      <c r="G102" s="1">
        <f t="shared" si="9"/>
        <v>403.1610794224955</v>
      </c>
      <c r="H102" s="2">
        <f t="shared" si="10"/>
        <v>80.632215884499104</v>
      </c>
      <c r="K102">
        <f t="shared" si="11"/>
        <v>4.5134246308739376</v>
      </c>
      <c r="L102">
        <f t="shared" si="12"/>
        <v>32615.544321896283</v>
      </c>
      <c r="M102" s="3">
        <f t="shared" si="13"/>
        <v>6523.1088643792564</v>
      </c>
    </row>
    <row r="103" spans="1:13" x14ac:dyDescent="0.3">
      <c r="A103" t="s">
        <v>128</v>
      </c>
      <c r="B103" t="s">
        <v>129</v>
      </c>
      <c r="C103">
        <v>18.780721664428711</v>
      </c>
      <c r="D103">
        <v>18.793987274169922</v>
      </c>
      <c r="E103">
        <v>1.8760405480861664E-2</v>
      </c>
      <c r="F103">
        <f t="shared" si="8"/>
        <v>8.8345633826358032</v>
      </c>
      <c r="G103">
        <f t="shared" si="9"/>
        <v>683224423.14876676</v>
      </c>
      <c r="H103" s="3">
        <f t="shared" si="10"/>
        <v>136644884.62975335</v>
      </c>
      <c r="K103">
        <f t="shared" si="11"/>
        <v>8.0799033454905693</v>
      </c>
      <c r="L103">
        <f t="shared" si="12"/>
        <v>120199689.41489077</v>
      </c>
      <c r="M103" s="3">
        <f t="shared" si="13"/>
        <v>24039937.882978152</v>
      </c>
    </row>
    <row r="104" spans="1:13" x14ac:dyDescent="0.3">
      <c r="A104" t="s">
        <v>130</v>
      </c>
      <c r="B104" t="s">
        <v>129</v>
      </c>
      <c r="C104">
        <v>18.807252883911133</v>
      </c>
      <c r="D104">
        <v>18.793987274169922</v>
      </c>
      <c r="E104">
        <v>1.8760405480861664E-2</v>
      </c>
      <c r="F104">
        <f t="shared" si="8"/>
        <v>8.8345633826358032</v>
      </c>
      <c r="G104">
        <f t="shared" si="9"/>
        <v>683224423.14876676</v>
      </c>
      <c r="H104" s="3">
        <f t="shared" si="10"/>
        <v>136644884.62975335</v>
      </c>
      <c r="K104">
        <f t="shared" si="11"/>
        <v>8.0799033454905693</v>
      </c>
      <c r="L104">
        <f t="shared" si="12"/>
        <v>120199689.41489077</v>
      </c>
      <c r="M104" s="3">
        <f t="shared" si="13"/>
        <v>24039937.882978152</v>
      </c>
    </row>
    <row r="105" spans="1:13" x14ac:dyDescent="0.3">
      <c r="A105" t="s">
        <v>131</v>
      </c>
      <c r="B105" t="s">
        <v>132</v>
      </c>
      <c r="C105">
        <v>19.427850723266602</v>
      </c>
      <c r="D105">
        <v>19.466358184814453</v>
      </c>
      <c r="E105">
        <v>5.4457772523164749E-2</v>
      </c>
      <c r="F105">
        <f t="shared" si="8"/>
        <v>8.6240857145673946</v>
      </c>
      <c r="G105">
        <f t="shared" si="9"/>
        <v>420809673.32609129</v>
      </c>
      <c r="H105" s="3">
        <f t="shared" si="10"/>
        <v>84161934.665218264</v>
      </c>
      <c r="K105">
        <f t="shared" si="11"/>
        <v>7.9593938085072855</v>
      </c>
      <c r="L105">
        <f t="shared" si="12"/>
        <v>91073873.580353037</v>
      </c>
      <c r="M105" s="3">
        <f t="shared" si="13"/>
        <v>18214774.716070607</v>
      </c>
    </row>
    <row r="106" spans="1:13" x14ac:dyDescent="0.3">
      <c r="A106" t="s">
        <v>133</v>
      </c>
      <c r="B106" t="s">
        <v>132</v>
      </c>
      <c r="C106">
        <v>19.504865646362305</v>
      </c>
      <c r="D106">
        <v>19.466358184814453</v>
      </c>
      <c r="E106">
        <v>5.4457772523164749E-2</v>
      </c>
      <c r="F106">
        <f t="shared" si="8"/>
        <v>8.6240857145673946</v>
      </c>
      <c r="G106">
        <f t="shared" si="9"/>
        <v>420809673.32609129</v>
      </c>
      <c r="H106" s="3">
        <f t="shared" si="10"/>
        <v>84161934.665218264</v>
      </c>
      <c r="K106">
        <f t="shared" si="11"/>
        <v>7.9593938085072855</v>
      </c>
      <c r="L106">
        <f t="shared" si="12"/>
        <v>91073873.580353037</v>
      </c>
      <c r="M106" s="3">
        <f t="shared" si="13"/>
        <v>18214774.716070607</v>
      </c>
    </row>
    <row r="107" spans="1:13" x14ac:dyDescent="0.3">
      <c r="A107" t="s">
        <v>134</v>
      </c>
      <c r="B107" t="s">
        <v>135</v>
      </c>
      <c r="C107">
        <v>16.003730773925781</v>
      </c>
      <c r="D107">
        <v>16.02110481262207</v>
      </c>
      <c r="E107">
        <v>2.4570601060986519E-2</v>
      </c>
      <c r="F107">
        <f t="shared" si="8"/>
        <v>9.7025810572477464</v>
      </c>
      <c r="G107">
        <f t="shared" si="9"/>
        <v>5041747100.9988375</v>
      </c>
      <c r="H107" s="3">
        <f t="shared" si="10"/>
        <v>1008349420.1997675</v>
      </c>
      <c r="K107">
        <f t="shared" si="11"/>
        <v>8.5768891256009478</v>
      </c>
      <c r="L107">
        <f t="shared" si="12"/>
        <v>377475809.90242302</v>
      </c>
      <c r="M107" s="3">
        <f t="shared" si="13"/>
        <v>75495161.980484605</v>
      </c>
    </row>
    <row r="108" spans="1:13" x14ac:dyDescent="0.3">
      <c r="A108" t="s">
        <v>136</v>
      </c>
      <c r="B108" t="s">
        <v>135</v>
      </c>
      <c r="C108">
        <v>16.038478851318359</v>
      </c>
      <c r="D108">
        <v>16.02110481262207</v>
      </c>
      <c r="E108">
        <v>2.4570601060986519E-2</v>
      </c>
      <c r="F108">
        <f t="shared" si="8"/>
        <v>9.7025810572477464</v>
      </c>
      <c r="G108">
        <f t="shared" si="9"/>
        <v>5041747100.9988375</v>
      </c>
      <c r="H108" s="3">
        <f t="shared" si="10"/>
        <v>1008349420.1997675</v>
      </c>
      <c r="K108">
        <f t="shared" si="11"/>
        <v>8.5768891256009478</v>
      </c>
      <c r="L108">
        <f t="shared" si="12"/>
        <v>377475809.90242302</v>
      </c>
      <c r="M108" s="3">
        <f t="shared" si="13"/>
        <v>75495161.980484605</v>
      </c>
    </row>
    <row r="109" spans="1:13" x14ac:dyDescent="0.3">
      <c r="A109" t="s">
        <v>137</v>
      </c>
      <c r="B109" t="s">
        <v>138</v>
      </c>
      <c r="C109">
        <v>15.111761093139648</v>
      </c>
      <c r="D109">
        <v>15.118356704711914</v>
      </c>
      <c r="E109">
        <v>9.3269292265176773E-3</v>
      </c>
      <c r="F109">
        <f t="shared" si="8"/>
        <v>9.9851755502545263</v>
      </c>
      <c r="G109">
        <f t="shared" si="9"/>
        <v>9664414544.294281</v>
      </c>
      <c r="H109" s="3">
        <f t="shared" si="10"/>
        <v>1932882908.8588562</v>
      </c>
      <c r="K109">
        <f t="shared" si="11"/>
        <v>8.7386893385109676</v>
      </c>
      <c r="L109">
        <f t="shared" si="12"/>
        <v>547884909.20784533</v>
      </c>
      <c r="M109" s="3">
        <f t="shared" si="13"/>
        <v>109576981.84156907</v>
      </c>
    </row>
    <row r="110" spans="1:13" x14ac:dyDescent="0.3">
      <c r="A110" t="s">
        <v>139</v>
      </c>
      <c r="B110" t="s">
        <v>138</v>
      </c>
      <c r="C110">
        <v>15.124951362609863</v>
      </c>
      <c r="D110">
        <v>15.118356704711914</v>
      </c>
      <c r="E110">
        <v>9.3269292265176773E-3</v>
      </c>
      <c r="F110">
        <f t="shared" si="8"/>
        <v>9.9851755502545263</v>
      </c>
      <c r="G110">
        <f t="shared" si="9"/>
        <v>9664414544.294281</v>
      </c>
      <c r="H110" s="3">
        <f t="shared" si="10"/>
        <v>1932882908.8588562</v>
      </c>
      <c r="K110">
        <f t="shared" si="11"/>
        <v>8.7386893385109676</v>
      </c>
      <c r="L110">
        <f t="shared" si="12"/>
        <v>547884909.20784533</v>
      </c>
      <c r="M110" s="3">
        <f t="shared" si="13"/>
        <v>109576981.84156907</v>
      </c>
    </row>
    <row r="111" spans="1:13" x14ac:dyDescent="0.3">
      <c r="A111" t="s">
        <v>140</v>
      </c>
      <c r="B111" t="s">
        <v>38</v>
      </c>
      <c r="C111" t="s">
        <v>38</v>
      </c>
      <c r="D111" t="s">
        <v>38</v>
      </c>
      <c r="E111" t="s">
        <v>38</v>
      </c>
      <c r="H111" s="3"/>
      <c r="M111" s="3"/>
    </row>
    <row r="112" spans="1:13" x14ac:dyDescent="0.3">
      <c r="A112" s="4" t="s">
        <v>141</v>
      </c>
      <c r="B112" s="4" t="s">
        <v>38</v>
      </c>
      <c r="C112" s="4" t="s">
        <v>142</v>
      </c>
      <c r="D112" s="4" t="s">
        <v>38</v>
      </c>
      <c r="E112" s="4" t="s">
        <v>38</v>
      </c>
      <c r="F112" s="4"/>
      <c r="G112" s="4"/>
      <c r="H112" s="5"/>
      <c r="M112" s="3"/>
    </row>
    <row r="113" spans="1:13" x14ac:dyDescent="0.3">
      <c r="A113" s="4" t="s">
        <v>143</v>
      </c>
      <c r="B113" s="4" t="s">
        <v>38</v>
      </c>
      <c r="C113" s="4" t="s">
        <v>142</v>
      </c>
      <c r="D113" s="4" t="s">
        <v>38</v>
      </c>
      <c r="E113" s="4" t="s">
        <v>38</v>
      </c>
      <c r="F113" s="4"/>
      <c r="G113" s="4"/>
      <c r="H113" s="5"/>
      <c r="M113" s="3"/>
    </row>
    <row r="114" spans="1:13" x14ac:dyDescent="0.3">
      <c r="A114" s="4" t="s">
        <v>144</v>
      </c>
      <c r="B114" s="4" t="s">
        <v>38</v>
      </c>
      <c r="C114" s="4">
        <v>39.22265625</v>
      </c>
      <c r="D114" s="4" t="s">
        <v>38</v>
      </c>
      <c r="E114" s="4" t="s">
        <v>38</v>
      </c>
      <c r="F114" s="4"/>
      <c r="G114" s="4"/>
      <c r="H114" s="5"/>
      <c r="M114" s="3"/>
    </row>
    <row r="115" spans="1:13" x14ac:dyDescent="0.3">
      <c r="A115" t="s">
        <v>145</v>
      </c>
      <c r="B115" t="s">
        <v>146</v>
      </c>
      <c r="C115">
        <v>24.084922790527344</v>
      </c>
      <c r="D115">
        <v>23.94621467590332</v>
      </c>
      <c r="E115">
        <v>0.19616289436817169</v>
      </c>
      <c r="F115">
        <f t="shared" si="8"/>
        <v>7.2217202454520821</v>
      </c>
      <c r="G115">
        <f t="shared" si="9"/>
        <v>16661735.866643492</v>
      </c>
      <c r="H115" s="3">
        <f t="shared" si="10"/>
        <v>3332347.1733286986</v>
      </c>
      <c r="K115">
        <f t="shared" si="11"/>
        <v>7.1564658070933582</v>
      </c>
      <c r="L115">
        <f t="shared" si="12"/>
        <v>14337248.314780504</v>
      </c>
      <c r="M115" s="3">
        <f t="shared" si="13"/>
        <v>2867449.6629561009</v>
      </c>
    </row>
    <row r="116" spans="1:13" x14ac:dyDescent="0.3">
      <c r="A116" t="s">
        <v>147</v>
      </c>
      <c r="B116" t="s">
        <v>146</v>
      </c>
      <c r="C116">
        <v>23.807506561279297</v>
      </c>
      <c r="D116">
        <v>23.94621467590332</v>
      </c>
      <c r="E116">
        <v>0.19616289436817169</v>
      </c>
      <c r="F116">
        <f t="shared" si="8"/>
        <v>7.2217202454520821</v>
      </c>
      <c r="G116">
        <f t="shared" si="9"/>
        <v>16661735.866643492</v>
      </c>
      <c r="H116" s="3">
        <f t="shared" si="10"/>
        <v>3332347.1733286986</v>
      </c>
      <c r="K116">
        <f t="shared" si="11"/>
        <v>7.1564658070933582</v>
      </c>
      <c r="L116">
        <f t="shared" si="12"/>
        <v>14337248.314780504</v>
      </c>
      <c r="M116" s="3">
        <f t="shared" si="13"/>
        <v>2867449.6629561009</v>
      </c>
    </row>
    <row r="117" spans="1:13" x14ac:dyDescent="0.3">
      <c r="A117" t="s">
        <v>148</v>
      </c>
      <c r="B117" t="s">
        <v>149</v>
      </c>
      <c r="C117">
        <v>20.392940521240234</v>
      </c>
      <c r="D117">
        <v>20.324897766113281</v>
      </c>
      <c r="E117">
        <v>9.6228338778018951E-2</v>
      </c>
      <c r="F117">
        <f t="shared" si="8"/>
        <v>8.355330171822418</v>
      </c>
      <c r="G117">
        <f t="shared" si="9"/>
        <v>226636665.51443714</v>
      </c>
      <c r="H117" s="3">
        <f t="shared" si="10"/>
        <v>45327333.102887429</v>
      </c>
      <c r="K117">
        <f t="shared" si="11"/>
        <v>7.8055171226093707</v>
      </c>
      <c r="L117">
        <f t="shared" si="12"/>
        <v>63902393.117853515</v>
      </c>
      <c r="M117" s="3">
        <f t="shared" si="13"/>
        <v>12780478.623570703</v>
      </c>
    </row>
    <row r="118" spans="1:13" x14ac:dyDescent="0.3">
      <c r="A118" t="s">
        <v>150</v>
      </c>
      <c r="B118" t="s">
        <v>149</v>
      </c>
      <c r="C118">
        <v>20.256853103637695</v>
      </c>
      <c r="D118">
        <v>20.324897766113281</v>
      </c>
      <c r="E118">
        <v>9.6228338778018951E-2</v>
      </c>
      <c r="F118">
        <f t="shared" si="8"/>
        <v>8.355330171822418</v>
      </c>
      <c r="G118">
        <f t="shared" si="9"/>
        <v>226636665.51443714</v>
      </c>
      <c r="H118" s="3">
        <f t="shared" si="10"/>
        <v>45327333.102887429</v>
      </c>
      <c r="K118">
        <f t="shared" si="11"/>
        <v>7.8055171226093707</v>
      </c>
      <c r="L118">
        <f t="shared" si="12"/>
        <v>63902393.117853515</v>
      </c>
      <c r="M118" s="3">
        <f t="shared" si="13"/>
        <v>12780478.623570703</v>
      </c>
    </row>
    <row r="119" spans="1:13" x14ac:dyDescent="0.3">
      <c r="A119" t="s">
        <v>151</v>
      </c>
      <c r="B119" t="s">
        <v>152</v>
      </c>
      <c r="C119">
        <v>17.074987411499023</v>
      </c>
      <c r="D119">
        <v>17.083307266235352</v>
      </c>
      <c r="E119">
        <v>1.1766050942242146E-2</v>
      </c>
      <c r="F119">
        <f t="shared" si="8"/>
        <v>9.3700712893299869</v>
      </c>
      <c r="G119">
        <f t="shared" si="9"/>
        <v>2344613651.4749455</v>
      </c>
      <c r="H119" s="3">
        <f t="shared" si="10"/>
        <v>468922730.29498911</v>
      </c>
      <c r="K119">
        <f t="shared" si="11"/>
        <v>8.3865097920501572</v>
      </c>
      <c r="L119">
        <f t="shared" si="12"/>
        <v>243506070.27166861</v>
      </c>
      <c r="M119" s="3">
        <f t="shared" si="13"/>
        <v>48701214.054333724</v>
      </c>
    </row>
    <row r="120" spans="1:13" x14ac:dyDescent="0.3">
      <c r="A120" t="s">
        <v>153</v>
      </c>
      <c r="B120" t="s">
        <v>152</v>
      </c>
      <c r="C120">
        <v>17.09162712097168</v>
      </c>
      <c r="D120">
        <v>17.083307266235352</v>
      </c>
      <c r="E120">
        <v>1.1766050942242146E-2</v>
      </c>
      <c r="F120">
        <f t="shared" si="8"/>
        <v>9.3700712893299869</v>
      </c>
      <c r="G120">
        <f t="shared" si="9"/>
        <v>2344613651.4749455</v>
      </c>
      <c r="H120" s="3">
        <f t="shared" si="10"/>
        <v>468922730.29498911</v>
      </c>
      <c r="K120">
        <f t="shared" si="11"/>
        <v>8.3865097920501572</v>
      </c>
      <c r="L120">
        <f t="shared" si="12"/>
        <v>243506070.27166861</v>
      </c>
      <c r="M120" s="3">
        <f t="shared" si="13"/>
        <v>48701214.054333724</v>
      </c>
    </row>
    <row r="121" spans="1:13" x14ac:dyDescent="0.3">
      <c r="A121" t="s">
        <v>154</v>
      </c>
      <c r="B121" t="s">
        <v>155</v>
      </c>
      <c r="C121">
        <v>17.99168586730957</v>
      </c>
      <c r="D121">
        <v>17.883951187133789</v>
      </c>
      <c r="E121">
        <v>0.15235984325408936</v>
      </c>
      <c r="F121">
        <f t="shared" si="8"/>
        <v>9.1194392903008943</v>
      </c>
      <c r="G121">
        <f t="shared" si="9"/>
        <v>1316555859.5038285</v>
      </c>
      <c r="H121" s="3">
        <f t="shared" si="10"/>
        <v>263311171.90076572</v>
      </c>
      <c r="K121">
        <f t="shared" si="11"/>
        <v>8.2430097883045157</v>
      </c>
      <c r="L121">
        <f t="shared" si="12"/>
        <v>174988612.78208244</v>
      </c>
      <c r="M121" s="3">
        <f t="shared" si="13"/>
        <v>34997722.556416489</v>
      </c>
    </row>
    <row r="122" spans="1:13" x14ac:dyDescent="0.3">
      <c r="A122" t="s">
        <v>156</v>
      </c>
      <c r="B122" t="s">
        <v>155</v>
      </c>
      <c r="C122">
        <v>17.776216506958008</v>
      </c>
      <c r="D122">
        <v>17.883951187133789</v>
      </c>
      <c r="E122">
        <v>0.15235984325408936</v>
      </c>
      <c r="F122">
        <f t="shared" si="8"/>
        <v>9.1194392903008943</v>
      </c>
      <c r="G122">
        <f t="shared" si="9"/>
        <v>1316555859.5038285</v>
      </c>
      <c r="H122" s="3">
        <f t="shared" si="10"/>
        <v>263311171.90076572</v>
      </c>
      <c r="K122">
        <f t="shared" si="11"/>
        <v>8.2430097883045157</v>
      </c>
      <c r="L122">
        <f t="shared" si="12"/>
        <v>174988612.78208244</v>
      </c>
      <c r="M122" s="3">
        <f t="shared" si="13"/>
        <v>34997722.556416489</v>
      </c>
    </row>
    <row r="123" spans="1:13" x14ac:dyDescent="0.3">
      <c r="A123" t="s">
        <v>157</v>
      </c>
      <c r="B123" t="s">
        <v>38</v>
      </c>
      <c r="C123" t="s">
        <v>38</v>
      </c>
      <c r="D123" t="s">
        <v>38</v>
      </c>
      <c r="E123" t="s">
        <v>38</v>
      </c>
      <c r="M123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5479-8089-4947-8268-E1CAA715951B}">
  <dimension ref="A1:M118"/>
  <sheetViews>
    <sheetView workbookViewId="0">
      <selection activeCell="B6" sqref="B6"/>
    </sheetView>
  </sheetViews>
  <sheetFormatPr defaultColWidth="11.5546875" defaultRowHeight="14.4" x14ac:dyDescent="0.3"/>
  <cols>
    <col min="3" max="3" width="11.109375" bestFit="1" customWidth="1"/>
    <col min="7" max="7" width="11.109375" bestFit="1" customWidth="1"/>
    <col min="12" max="12" width="11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1000</v>
      </c>
      <c r="B2">
        <v>5000</v>
      </c>
      <c r="C2">
        <f>B2*(0.000000000001)*(1/$B$12)*6.022E+23</f>
        <v>1061482055.9825144</v>
      </c>
      <c r="D2">
        <f>LOG10(C2)</f>
        <v>9.025912656953599</v>
      </c>
      <c r="E2">
        <v>10.830920219421387</v>
      </c>
      <c r="F2">
        <v>9.374231155150424</v>
      </c>
    </row>
    <row r="3" spans="1:6" x14ac:dyDescent="0.3">
      <c r="A3">
        <v>100</v>
      </c>
      <c r="B3">
        <v>500</v>
      </c>
      <c r="C3">
        <f t="shared" ref="C3:C8" si="0">B3*(0.000000000001)*(1/$B$12)*6.022E+23</f>
        <v>106148205.59825145</v>
      </c>
      <c r="D3">
        <f t="shared" ref="D3:D8" si="1">LOG10(C3)</f>
        <v>8.025912656953599</v>
      </c>
      <c r="E3">
        <v>16.07171630859375</v>
      </c>
      <c r="F3">
        <v>7.9642400095257475</v>
      </c>
    </row>
    <row r="4" spans="1:6" x14ac:dyDescent="0.3">
      <c r="A4">
        <v>10</v>
      </c>
      <c r="B4">
        <v>50</v>
      </c>
      <c r="C4">
        <f t="shared" si="0"/>
        <v>10614820.559825143</v>
      </c>
      <c r="D4">
        <f t="shared" si="1"/>
        <v>7.0259126569535999</v>
      </c>
      <c r="E4">
        <v>19.418052673339844</v>
      </c>
      <c r="F4">
        <v>7.0639369707713842</v>
      </c>
    </row>
    <row r="5" spans="1:6" x14ac:dyDescent="0.3">
      <c r="A5">
        <v>1</v>
      </c>
      <c r="B5">
        <v>5</v>
      </c>
      <c r="C5">
        <f t="shared" si="0"/>
        <v>1061482.0559825143</v>
      </c>
      <c r="D5">
        <f t="shared" si="1"/>
        <v>6.0259126569535999</v>
      </c>
      <c r="E5">
        <v>22.993682861328125</v>
      </c>
      <c r="F5">
        <v>6.1019443995458245</v>
      </c>
    </row>
    <row r="6" spans="1:6" x14ac:dyDescent="0.3">
      <c r="A6">
        <v>0.1</v>
      </c>
      <c r="B6">
        <v>0.5</v>
      </c>
      <c r="C6">
        <f t="shared" si="0"/>
        <v>106148.20559825143</v>
      </c>
      <c r="D6">
        <f t="shared" si="1"/>
        <v>5.0259126569535999</v>
      </c>
      <c r="E6">
        <v>27.070867538452148</v>
      </c>
      <c r="F6">
        <v>5.0050129036422426</v>
      </c>
    </row>
    <row r="7" spans="1:6" x14ac:dyDescent="0.3">
      <c r="A7">
        <v>0.01</v>
      </c>
      <c r="B7">
        <v>0.05</v>
      </c>
      <c r="C7">
        <f t="shared" si="0"/>
        <v>10614.820559825144</v>
      </c>
      <c r="D7">
        <f t="shared" si="1"/>
        <v>4.0259126569535999</v>
      </c>
      <c r="E7">
        <v>30.8297119140625</v>
      </c>
      <c r="F7">
        <v>3.9937281298763754</v>
      </c>
    </row>
    <row r="8" spans="1:6" x14ac:dyDescent="0.3">
      <c r="A8">
        <v>1E-3</v>
      </c>
      <c r="B8">
        <v>5.0000000000000001E-3</v>
      </c>
      <c r="C8">
        <f t="shared" si="0"/>
        <v>1061.4820559825143</v>
      </c>
      <c r="D8">
        <f t="shared" si="1"/>
        <v>3.0259126569535995</v>
      </c>
    </row>
    <row r="10" spans="1:6" x14ac:dyDescent="0.3">
      <c r="A10" t="s">
        <v>6</v>
      </c>
      <c r="B10">
        <v>4364</v>
      </c>
    </row>
    <row r="11" spans="1:6" x14ac:dyDescent="0.3">
      <c r="A11" t="s">
        <v>7</v>
      </c>
      <c r="B11">
        <v>650</v>
      </c>
    </row>
    <row r="12" spans="1:6" x14ac:dyDescent="0.3">
      <c r="A12" t="s">
        <v>8</v>
      </c>
      <c r="B12">
        <v>2836600</v>
      </c>
    </row>
    <row r="14" spans="1:6" x14ac:dyDescent="0.3">
      <c r="A14" t="s">
        <v>9</v>
      </c>
      <c r="B14">
        <v>1027</v>
      </c>
    </row>
    <row r="15" spans="1:6" x14ac:dyDescent="0.3">
      <c r="A15" t="s">
        <v>10</v>
      </c>
      <c r="B15">
        <v>3337</v>
      </c>
    </row>
    <row r="22" spans="1:13" x14ac:dyDescent="0.3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</row>
    <row r="23" spans="1:13" x14ac:dyDescent="0.3">
      <c r="A23" s="1" t="s">
        <v>21</v>
      </c>
      <c r="B23" s="1" t="s">
        <v>158</v>
      </c>
      <c r="C23" s="1">
        <v>10.863184928894043</v>
      </c>
      <c r="D23" s="1">
        <v>10.830920219421387</v>
      </c>
      <c r="E23" s="1">
        <v>5.1474779844284058E-2</v>
      </c>
      <c r="F23" s="1">
        <f>(D23-45.674)/-3.7169</f>
        <v>9.374231155150424</v>
      </c>
      <c r="G23" s="1">
        <f>10^F23</f>
        <v>2367179303.8489389</v>
      </c>
      <c r="H23" s="2">
        <f>G23/5</f>
        <v>473435860.76978779</v>
      </c>
      <c r="K23">
        <f>(D23-46.666)/-3.9019</f>
        <v>9.1840077348416447</v>
      </c>
      <c r="L23">
        <f>10^K23</f>
        <v>1527593264.6320617</v>
      </c>
      <c r="M23" s="3">
        <f>L23/5</f>
        <v>305518652.92641234</v>
      </c>
    </row>
    <row r="24" spans="1:13" x14ac:dyDescent="0.3">
      <c r="A24" s="1" t="s">
        <v>23</v>
      </c>
      <c r="B24" s="1" t="s">
        <v>158</v>
      </c>
      <c r="C24" s="1">
        <v>10.858017921447754</v>
      </c>
      <c r="D24" s="1">
        <v>10.830920219421387</v>
      </c>
      <c r="E24" s="1">
        <v>5.1474779844284058E-2</v>
      </c>
      <c r="F24" s="1">
        <f t="shared" ref="F24:F87" si="2">(D24-45.674)/-3.7169</f>
        <v>9.374231155150424</v>
      </c>
      <c r="G24" s="1">
        <f t="shared" ref="G24:G87" si="3">10^F24</f>
        <v>2367179303.8489389</v>
      </c>
      <c r="H24" s="2">
        <f t="shared" ref="H24:H87" si="4">G24/5</f>
        <v>473435860.76978779</v>
      </c>
      <c r="K24">
        <f t="shared" ref="K24:K87" si="5">(D24-46.666)/-3.9019</f>
        <v>9.1840077348416447</v>
      </c>
      <c r="L24">
        <f t="shared" ref="L24:L87" si="6">10^K24</f>
        <v>1527593264.6320617</v>
      </c>
      <c r="M24" s="3">
        <f t="shared" ref="M24:M87" si="7">L24/5</f>
        <v>305518652.92641234</v>
      </c>
    </row>
    <row r="25" spans="1:13" x14ac:dyDescent="0.3">
      <c r="A25" s="1" t="s">
        <v>24</v>
      </c>
      <c r="B25" s="1" t="s">
        <v>158</v>
      </c>
      <c r="C25" s="1">
        <v>10.771556854248047</v>
      </c>
      <c r="D25" s="1">
        <v>10.830920219421387</v>
      </c>
      <c r="E25" s="1">
        <v>5.1474779844284058E-2</v>
      </c>
      <c r="F25" s="1">
        <f t="shared" si="2"/>
        <v>9.374231155150424</v>
      </c>
      <c r="G25" s="1">
        <f t="shared" si="3"/>
        <v>2367179303.8489389</v>
      </c>
      <c r="H25" s="2">
        <f t="shared" si="4"/>
        <v>473435860.76978779</v>
      </c>
      <c r="K25">
        <f t="shared" si="5"/>
        <v>9.1840077348416447</v>
      </c>
      <c r="L25">
        <f t="shared" si="6"/>
        <v>1527593264.6320617</v>
      </c>
      <c r="M25" s="3">
        <f t="shared" si="7"/>
        <v>305518652.92641234</v>
      </c>
    </row>
    <row r="26" spans="1:13" x14ac:dyDescent="0.3">
      <c r="A26" t="s">
        <v>25</v>
      </c>
      <c r="B26" t="s">
        <v>159</v>
      </c>
      <c r="C26">
        <v>15.532727241516113</v>
      </c>
      <c r="D26">
        <v>15.53773307800293</v>
      </c>
      <c r="E26">
        <v>7.0799961686134338E-3</v>
      </c>
      <c r="F26">
        <f t="shared" si="2"/>
        <v>8.1079036083825429</v>
      </c>
      <c r="G26">
        <f t="shared" si="3"/>
        <v>128204600.10921742</v>
      </c>
      <c r="H26" s="3">
        <f t="shared" si="4"/>
        <v>25640920.021843486</v>
      </c>
      <c r="K26">
        <f t="shared" si="5"/>
        <v>7.9777203213811392</v>
      </c>
      <c r="L26">
        <f t="shared" si="6"/>
        <v>94999281.662407115</v>
      </c>
      <c r="M26" s="3">
        <f t="shared" si="7"/>
        <v>18999856.332481422</v>
      </c>
    </row>
    <row r="27" spans="1:13" x14ac:dyDescent="0.3">
      <c r="A27" t="s">
        <v>27</v>
      </c>
      <c r="B27" t="s">
        <v>159</v>
      </c>
      <c r="C27">
        <v>15.542739868164063</v>
      </c>
      <c r="D27">
        <v>15.53773307800293</v>
      </c>
      <c r="E27">
        <v>7.0799961686134338E-3</v>
      </c>
      <c r="F27">
        <f t="shared" si="2"/>
        <v>8.1079036083825429</v>
      </c>
      <c r="G27">
        <f t="shared" si="3"/>
        <v>128204600.10921742</v>
      </c>
      <c r="H27" s="3">
        <f t="shared" si="4"/>
        <v>25640920.021843486</v>
      </c>
      <c r="K27">
        <f t="shared" si="5"/>
        <v>7.9777203213811392</v>
      </c>
      <c r="L27">
        <f t="shared" si="6"/>
        <v>94999281.662407115</v>
      </c>
      <c r="M27" s="3">
        <f t="shared" si="7"/>
        <v>18999856.332481422</v>
      </c>
    </row>
    <row r="28" spans="1:13" x14ac:dyDescent="0.3">
      <c r="A28" t="s">
        <v>28</v>
      </c>
      <c r="B28" t="s">
        <v>160</v>
      </c>
      <c r="C28">
        <v>18.582786560058594</v>
      </c>
      <c r="D28">
        <v>18.592842102050781</v>
      </c>
      <c r="E28">
        <v>1.4222032390534878E-2</v>
      </c>
      <c r="F28">
        <f t="shared" si="2"/>
        <v>7.2859527826815951</v>
      </c>
      <c r="G28">
        <f t="shared" si="3"/>
        <v>19317582.811812934</v>
      </c>
      <c r="H28" s="3">
        <f t="shared" si="4"/>
        <v>3863516.5623625866</v>
      </c>
      <c r="K28">
        <f t="shared" si="5"/>
        <v>7.1947404848789605</v>
      </c>
      <c r="L28">
        <f t="shared" si="6"/>
        <v>15658151.288218094</v>
      </c>
      <c r="M28" s="3">
        <f t="shared" si="7"/>
        <v>3131630.2576436186</v>
      </c>
    </row>
    <row r="29" spans="1:13" x14ac:dyDescent="0.3">
      <c r="A29" t="s">
        <v>30</v>
      </c>
      <c r="B29" t="s">
        <v>160</v>
      </c>
      <c r="C29">
        <v>18.602899551391602</v>
      </c>
      <c r="D29">
        <v>18.592842102050781</v>
      </c>
      <c r="E29">
        <v>1.4222032390534878E-2</v>
      </c>
      <c r="F29">
        <f t="shared" si="2"/>
        <v>7.2859527826815951</v>
      </c>
      <c r="G29">
        <f t="shared" si="3"/>
        <v>19317582.811812934</v>
      </c>
      <c r="H29" s="3">
        <f t="shared" si="4"/>
        <v>3863516.5623625866</v>
      </c>
      <c r="K29">
        <f t="shared" si="5"/>
        <v>7.1947404848789605</v>
      </c>
      <c r="L29">
        <f t="shared" si="6"/>
        <v>15658151.288218094</v>
      </c>
      <c r="M29" s="3">
        <f t="shared" si="7"/>
        <v>3131630.2576436186</v>
      </c>
    </row>
    <row r="30" spans="1:13" x14ac:dyDescent="0.3">
      <c r="A30" t="s">
        <v>31</v>
      </c>
      <c r="B30" t="s">
        <v>161</v>
      </c>
      <c r="C30">
        <v>14.394786834716797</v>
      </c>
      <c r="D30">
        <v>14.441489219665527</v>
      </c>
      <c r="E30">
        <v>6.6047146916389465E-2</v>
      </c>
      <c r="F30">
        <f t="shared" si="2"/>
        <v>8.4028385967700157</v>
      </c>
      <c r="G30">
        <f t="shared" si="3"/>
        <v>252835817.09749615</v>
      </c>
      <c r="H30" s="3">
        <f t="shared" si="4"/>
        <v>50567163.419499233</v>
      </c>
      <c r="K30">
        <f t="shared" si="5"/>
        <v>8.2586716164777343</v>
      </c>
      <c r="L30">
        <f t="shared" si="6"/>
        <v>181414341.39591211</v>
      </c>
      <c r="M30" s="3">
        <f t="shared" si="7"/>
        <v>36282868.279182419</v>
      </c>
    </row>
    <row r="31" spans="1:13" x14ac:dyDescent="0.3">
      <c r="A31" t="s">
        <v>33</v>
      </c>
      <c r="B31" t="s">
        <v>161</v>
      </c>
      <c r="C31">
        <v>14.488191604614258</v>
      </c>
      <c r="D31">
        <v>14.441489219665527</v>
      </c>
      <c r="E31">
        <v>6.6047146916389465E-2</v>
      </c>
      <c r="F31">
        <f t="shared" si="2"/>
        <v>8.4028385967700157</v>
      </c>
      <c r="G31">
        <f t="shared" si="3"/>
        <v>252835817.09749615</v>
      </c>
      <c r="H31" s="3">
        <f t="shared" si="4"/>
        <v>50567163.419499233</v>
      </c>
      <c r="K31">
        <f t="shared" si="5"/>
        <v>8.2586716164777343</v>
      </c>
      <c r="L31">
        <f t="shared" si="6"/>
        <v>181414341.39591211</v>
      </c>
      <c r="M31" s="3">
        <f t="shared" si="7"/>
        <v>36282868.279182419</v>
      </c>
    </row>
    <row r="32" spans="1:13" x14ac:dyDescent="0.3">
      <c r="A32" t="s">
        <v>34</v>
      </c>
      <c r="B32" t="s">
        <v>162</v>
      </c>
      <c r="C32">
        <v>11.836380004882813</v>
      </c>
      <c r="D32">
        <v>25.798038482666016</v>
      </c>
      <c r="E32">
        <v>19.744766235351563</v>
      </c>
      <c r="F32">
        <f t="shared" si="2"/>
        <v>5.347456621736927</v>
      </c>
      <c r="G32">
        <f t="shared" si="3"/>
        <v>222564.87311282029</v>
      </c>
      <c r="H32" s="3">
        <f t="shared" si="4"/>
        <v>44512.974622564056</v>
      </c>
      <c r="K32">
        <f t="shared" si="5"/>
        <v>5.3481538525677186</v>
      </c>
      <c r="L32">
        <f t="shared" si="6"/>
        <v>222922.47315008857</v>
      </c>
      <c r="M32" s="3">
        <f t="shared" si="7"/>
        <v>44584.494630017711</v>
      </c>
    </row>
    <row r="33" spans="1:13" x14ac:dyDescent="0.3">
      <c r="A33" t="s">
        <v>36</v>
      </c>
      <c r="B33" t="s">
        <v>162</v>
      </c>
      <c r="C33">
        <v>39.759696960449219</v>
      </c>
      <c r="D33">
        <v>25.798038482666016</v>
      </c>
      <c r="E33">
        <v>19.744766235351563</v>
      </c>
      <c r="F33">
        <f t="shared" si="2"/>
        <v>5.347456621736927</v>
      </c>
      <c r="G33">
        <f t="shared" si="3"/>
        <v>222564.87311282029</v>
      </c>
      <c r="H33" s="3">
        <f t="shared" si="4"/>
        <v>44512.974622564056</v>
      </c>
      <c r="K33">
        <f t="shared" si="5"/>
        <v>5.3481538525677186</v>
      </c>
      <c r="L33">
        <f t="shared" si="6"/>
        <v>222922.47315008857</v>
      </c>
      <c r="M33" s="3">
        <f t="shared" si="7"/>
        <v>44584.494630017711</v>
      </c>
    </row>
    <row r="34" spans="1:13" x14ac:dyDescent="0.3">
      <c r="A34" t="s">
        <v>37</v>
      </c>
      <c r="B34" t="s">
        <v>38</v>
      </c>
      <c r="C34" t="s">
        <v>38</v>
      </c>
      <c r="D34" t="s">
        <v>38</v>
      </c>
      <c r="E34" t="s">
        <v>38</v>
      </c>
      <c r="F34" t="e">
        <f t="shared" si="2"/>
        <v>#VALUE!</v>
      </c>
      <c r="G34" t="e">
        <f t="shared" si="3"/>
        <v>#VALUE!</v>
      </c>
      <c r="H34" s="3" t="e">
        <f t="shared" si="4"/>
        <v>#VALUE!</v>
      </c>
      <c r="K34" t="e">
        <f t="shared" si="5"/>
        <v>#VALUE!</v>
      </c>
      <c r="L34" t="e">
        <f t="shared" si="6"/>
        <v>#VALUE!</v>
      </c>
      <c r="M34" s="3" t="e">
        <f t="shared" si="7"/>
        <v>#VALUE!</v>
      </c>
    </row>
    <row r="35" spans="1:13" x14ac:dyDescent="0.3">
      <c r="A35" s="1" t="s">
        <v>39</v>
      </c>
      <c r="B35" s="1" t="s">
        <v>22</v>
      </c>
      <c r="C35" s="1">
        <v>16.388221740722656</v>
      </c>
      <c r="D35" s="1">
        <v>16.07171630859375</v>
      </c>
      <c r="E35" s="1">
        <v>0.27850106358528137</v>
      </c>
      <c r="F35" s="1">
        <f t="shared" si="2"/>
        <v>7.9642400095257475</v>
      </c>
      <c r="G35" s="1">
        <f t="shared" si="3"/>
        <v>92095839.175802767</v>
      </c>
      <c r="H35" s="2">
        <f t="shared" si="4"/>
        <v>18419167.835160553</v>
      </c>
      <c r="K35">
        <f t="shared" si="5"/>
        <v>7.8408682158451644</v>
      </c>
      <c r="L35">
        <f t="shared" si="6"/>
        <v>69321542.187805369</v>
      </c>
      <c r="M35" s="3">
        <f t="shared" si="7"/>
        <v>13864308.437561074</v>
      </c>
    </row>
    <row r="36" spans="1:13" x14ac:dyDescent="0.3">
      <c r="A36" s="1" t="s">
        <v>41</v>
      </c>
      <c r="B36" s="1" t="s">
        <v>22</v>
      </c>
      <c r="C36" s="1">
        <v>15.864158630371094</v>
      </c>
      <c r="D36" s="1">
        <v>16.07171630859375</v>
      </c>
      <c r="E36" s="1">
        <v>0.27850106358528137</v>
      </c>
      <c r="F36" s="1">
        <f t="shared" si="2"/>
        <v>7.9642400095257475</v>
      </c>
      <c r="G36" s="1">
        <f t="shared" si="3"/>
        <v>92095839.175802767</v>
      </c>
      <c r="H36" s="2">
        <f t="shared" si="4"/>
        <v>18419167.835160553</v>
      </c>
      <c r="K36">
        <f t="shared" si="5"/>
        <v>7.8408682158451644</v>
      </c>
      <c r="L36">
        <f t="shared" si="6"/>
        <v>69321542.187805369</v>
      </c>
      <c r="M36" s="3">
        <f t="shared" si="7"/>
        <v>13864308.437561074</v>
      </c>
    </row>
    <row r="37" spans="1:13" x14ac:dyDescent="0.3">
      <c r="A37" s="1" t="s">
        <v>42</v>
      </c>
      <c r="B37" s="1" t="s">
        <v>22</v>
      </c>
      <c r="C37" s="1">
        <v>15.962767601013184</v>
      </c>
      <c r="D37" s="1">
        <v>16.07171630859375</v>
      </c>
      <c r="E37" s="1">
        <v>0.27850106358528137</v>
      </c>
      <c r="F37" s="1">
        <f t="shared" si="2"/>
        <v>7.9642400095257475</v>
      </c>
      <c r="G37" s="1">
        <f t="shared" si="3"/>
        <v>92095839.175802767</v>
      </c>
      <c r="H37" s="2">
        <f t="shared" si="4"/>
        <v>18419167.835160553</v>
      </c>
      <c r="K37">
        <f t="shared" si="5"/>
        <v>7.8408682158451644</v>
      </c>
      <c r="L37">
        <f t="shared" si="6"/>
        <v>69321542.187805369</v>
      </c>
      <c r="M37" s="3">
        <f t="shared" si="7"/>
        <v>13864308.437561074</v>
      </c>
    </row>
    <row r="38" spans="1:13" x14ac:dyDescent="0.3">
      <c r="A38" t="s">
        <v>43</v>
      </c>
      <c r="B38" t="s">
        <v>163</v>
      </c>
      <c r="C38">
        <v>21.463413238525391</v>
      </c>
      <c r="D38">
        <v>21.488893508911133</v>
      </c>
      <c r="E38">
        <v>3.6034543067216873E-2</v>
      </c>
      <c r="F38">
        <f t="shared" si="2"/>
        <v>6.5067950418598475</v>
      </c>
      <c r="G38">
        <f t="shared" si="3"/>
        <v>3212144.2622064753</v>
      </c>
      <c r="H38" s="3">
        <f t="shared" si="4"/>
        <v>642428.85244129505</v>
      </c>
      <c r="K38">
        <f t="shared" si="5"/>
        <v>6.4525247933285996</v>
      </c>
      <c r="L38">
        <f t="shared" si="6"/>
        <v>2834815.4649383309</v>
      </c>
      <c r="M38" s="3">
        <f t="shared" si="7"/>
        <v>566963.09298766614</v>
      </c>
    </row>
    <row r="39" spans="1:13" x14ac:dyDescent="0.3">
      <c r="A39" t="s">
        <v>45</v>
      </c>
      <c r="B39" t="s">
        <v>163</v>
      </c>
      <c r="C39">
        <v>21.514373779296875</v>
      </c>
      <c r="D39">
        <v>21.488893508911133</v>
      </c>
      <c r="E39">
        <v>3.6034543067216873E-2</v>
      </c>
      <c r="F39">
        <f t="shared" si="2"/>
        <v>6.5067950418598475</v>
      </c>
      <c r="G39">
        <f t="shared" si="3"/>
        <v>3212144.2622064753</v>
      </c>
      <c r="H39" s="3">
        <f t="shared" si="4"/>
        <v>642428.85244129505</v>
      </c>
      <c r="K39">
        <f t="shared" si="5"/>
        <v>6.4525247933285996</v>
      </c>
      <c r="L39">
        <f t="shared" si="6"/>
        <v>2834815.4649383309</v>
      </c>
      <c r="M39" s="3">
        <f t="shared" si="7"/>
        <v>566963.09298766614</v>
      </c>
    </row>
    <row r="40" spans="1:13" x14ac:dyDescent="0.3">
      <c r="A40" t="s">
        <v>46</v>
      </c>
      <c r="B40" t="s">
        <v>164</v>
      </c>
      <c r="C40">
        <v>15.71971607208252</v>
      </c>
      <c r="D40">
        <v>15.691339492797852</v>
      </c>
      <c r="E40">
        <v>4.0130544453859329E-2</v>
      </c>
      <c r="F40">
        <f t="shared" si="2"/>
        <v>8.0665771226565557</v>
      </c>
      <c r="G40">
        <f t="shared" si="3"/>
        <v>116567403.45778762</v>
      </c>
      <c r="H40" s="3">
        <f t="shared" si="4"/>
        <v>23313480.691557523</v>
      </c>
      <c r="K40">
        <f t="shared" si="5"/>
        <v>7.9383532400118266</v>
      </c>
      <c r="L40">
        <f t="shared" si="6"/>
        <v>86766731.921778381</v>
      </c>
      <c r="M40" s="3">
        <f t="shared" si="7"/>
        <v>17353346.384355675</v>
      </c>
    </row>
    <row r="41" spans="1:13" x14ac:dyDescent="0.3">
      <c r="A41" t="s">
        <v>48</v>
      </c>
      <c r="B41" t="s">
        <v>164</v>
      </c>
      <c r="C41">
        <v>15.662962913513184</v>
      </c>
      <c r="D41">
        <v>15.691339492797852</v>
      </c>
      <c r="E41">
        <v>4.0130544453859329E-2</v>
      </c>
      <c r="F41">
        <f t="shared" si="2"/>
        <v>8.0665771226565557</v>
      </c>
      <c r="G41">
        <f t="shared" si="3"/>
        <v>116567403.45778762</v>
      </c>
      <c r="H41" s="3">
        <f t="shared" si="4"/>
        <v>23313480.691557523</v>
      </c>
      <c r="K41">
        <f t="shared" si="5"/>
        <v>7.9383532400118266</v>
      </c>
      <c r="L41">
        <f t="shared" si="6"/>
        <v>86766731.921778381</v>
      </c>
      <c r="M41" s="3">
        <f t="shared" si="7"/>
        <v>17353346.384355675</v>
      </c>
    </row>
    <row r="42" spans="1:13" x14ac:dyDescent="0.3">
      <c r="A42" t="s">
        <v>49</v>
      </c>
      <c r="B42" t="s">
        <v>165</v>
      </c>
      <c r="C42">
        <v>12.82659912109375</v>
      </c>
      <c r="D42">
        <v>12.861177444458008</v>
      </c>
      <c r="E42">
        <v>4.8900458961725235E-2</v>
      </c>
      <c r="F42">
        <f t="shared" si="2"/>
        <v>8.8280078978562759</v>
      </c>
      <c r="G42">
        <f t="shared" si="3"/>
        <v>672988894.80324769</v>
      </c>
      <c r="H42" s="3">
        <f t="shared" si="4"/>
        <v>134597778.96064955</v>
      </c>
      <c r="K42">
        <f t="shared" si="5"/>
        <v>8.6636824509961787</v>
      </c>
      <c r="L42">
        <f t="shared" si="6"/>
        <v>460980390.00125241</v>
      </c>
      <c r="M42" s="3">
        <f t="shared" si="7"/>
        <v>92196078.000250489</v>
      </c>
    </row>
    <row r="43" spans="1:13" x14ac:dyDescent="0.3">
      <c r="A43" t="s">
        <v>51</v>
      </c>
      <c r="B43" t="s">
        <v>165</v>
      </c>
      <c r="C43">
        <v>12.895754814147949</v>
      </c>
      <c r="D43">
        <v>12.861177444458008</v>
      </c>
      <c r="E43">
        <v>4.8900458961725235E-2</v>
      </c>
      <c r="F43">
        <f t="shared" si="2"/>
        <v>8.8280078978562759</v>
      </c>
      <c r="G43">
        <f t="shared" si="3"/>
        <v>672988894.80324769</v>
      </c>
      <c r="H43" s="3">
        <f t="shared" si="4"/>
        <v>134597778.96064955</v>
      </c>
      <c r="K43">
        <f t="shared" si="5"/>
        <v>8.6636824509961787</v>
      </c>
      <c r="L43">
        <f t="shared" si="6"/>
        <v>460980390.00125241</v>
      </c>
      <c r="M43" s="3">
        <f t="shared" si="7"/>
        <v>92196078.000250489</v>
      </c>
    </row>
    <row r="44" spans="1:13" x14ac:dyDescent="0.3">
      <c r="A44" t="s">
        <v>52</v>
      </c>
      <c r="B44" t="s">
        <v>166</v>
      </c>
      <c r="C44">
        <v>11.447338104248047</v>
      </c>
      <c r="D44">
        <v>11.447338104248047</v>
      </c>
      <c r="E44" t="s">
        <v>38</v>
      </c>
      <c r="F44">
        <f t="shared" si="2"/>
        <v>9.2083892210583969</v>
      </c>
      <c r="G44">
        <f t="shared" si="3"/>
        <v>1615806017.0665839</v>
      </c>
      <c r="H44" s="3">
        <f t="shared" si="4"/>
        <v>323161203.41331679</v>
      </c>
      <c r="K44">
        <f t="shared" si="5"/>
        <v>9.0260288310187224</v>
      </c>
      <c r="L44">
        <f t="shared" si="6"/>
        <v>1061766041.1256779</v>
      </c>
      <c r="M44" s="3">
        <f t="shared" si="7"/>
        <v>212353208.22513559</v>
      </c>
    </row>
    <row r="45" spans="1:13" x14ac:dyDescent="0.3">
      <c r="A45" t="s">
        <v>54</v>
      </c>
      <c r="B45" t="s">
        <v>166</v>
      </c>
      <c r="C45" t="s">
        <v>142</v>
      </c>
      <c r="D45">
        <v>11.447338104248047</v>
      </c>
      <c r="E45" t="s">
        <v>38</v>
      </c>
      <c r="F45">
        <f t="shared" si="2"/>
        <v>9.2083892210583969</v>
      </c>
      <c r="G45">
        <f t="shared" si="3"/>
        <v>1615806017.0665839</v>
      </c>
      <c r="H45" s="3">
        <f t="shared" si="4"/>
        <v>323161203.41331679</v>
      </c>
      <c r="K45">
        <f t="shared" si="5"/>
        <v>9.0260288310187224</v>
      </c>
      <c r="L45">
        <f t="shared" si="6"/>
        <v>1061766041.1256779</v>
      </c>
      <c r="M45" s="3">
        <f t="shared" si="7"/>
        <v>212353208.22513559</v>
      </c>
    </row>
    <row r="46" spans="1:13" x14ac:dyDescent="0.3">
      <c r="A46" t="s">
        <v>55</v>
      </c>
      <c r="B46" t="s">
        <v>38</v>
      </c>
      <c r="C46" t="s">
        <v>38</v>
      </c>
      <c r="D46" t="s">
        <v>38</v>
      </c>
      <c r="E46" t="s">
        <v>38</v>
      </c>
      <c r="F46" t="e">
        <f t="shared" si="2"/>
        <v>#VALUE!</v>
      </c>
      <c r="G46" t="e">
        <f t="shared" si="3"/>
        <v>#VALUE!</v>
      </c>
      <c r="H46" s="3" t="e">
        <f t="shared" si="4"/>
        <v>#VALUE!</v>
      </c>
      <c r="K46" t="e">
        <f t="shared" si="5"/>
        <v>#VALUE!</v>
      </c>
      <c r="L46" t="e">
        <f t="shared" si="6"/>
        <v>#VALUE!</v>
      </c>
      <c r="M46" s="3" t="e">
        <f t="shared" si="7"/>
        <v>#VALUE!</v>
      </c>
    </row>
    <row r="47" spans="1:13" x14ac:dyDescent="0.3">
      <c r="A47" s="1" t="s">
        <v>56</v>
      </c>
      <c r="B47" s="1" t="s">
        <v>40</v>
      </c>
      <c r="C47" s="1">
        <v>19.402133941650391</v>
      </c>
      <c r="D47" s="1">
        <v>19.418052673339844</v>
      </c>
      <c r="E47" s="1">
        <v>5.076267197728157E-2</v>
      </c>
      <c r="F47" s="1">
        <f t="shared" si="2"/>
        <v>7.0639369707713842</v>
      </c>
      <c r="G47" s="1">
        <f t="shared" si="3"/>
        <v>11586091.948123734</v>
      </c>
      <c r="H47" s="2">
        <f t="shared" si="4"/>
        <v>2317218.389624747</v>
      </c>
      <c r="K47">
        <f t="shared" si="5"/>
        <v>6.983251064009881</v>
      </c>
      <c r="L47">
        <f t="shared" si="6"/>
        <v>9621683.4354653209</v>
      </c>
      <c r="M47" s="3">
        <f t="shared" si="7"/>
        <v>1924336.6870930642</v>
      </c>
    </row>
    <row r="48" spans="1:13" x14ac:dyDescent="0.3">
      <c r="A48" s="1" t="s">
        <v>58</v>
      </c>
      <c r="B48" s="1" t="s">
        <v>40</v>
      </c>
      <c r="C48" s="1">
        <v>19.47486686706543</v>
      </c>
      <c r="D48" s="1">
        <v>19.418052673339844</v>
      </c>
      <c r="E48" s="1">
        <v>5.076267197728157E-2</v>
      </c>
      <c r="F48" s="1">
        <f t="shared" si="2"/>
        <v>7.0639369707713842</v>
      </c>
      <c r="G48" s="1">
        <f t="shared" si="3"/>
        <v>11586091.948123734</v>
      </c>
      <c r="H48" s="2">
        <f t="shared" si="4"/>
        <v>2317218.389624747</v>
      </c>
      <c r="K48">
        <f t="shared" si="5"/>
        <v>6.983251064009881</v>
      </c>
      <c r="L48">
        <f t="shared" si="6"/>
        <v>9621683.4354653209</v>
      </c>
      <c r="M48" s="3">
        <f t="shared" si="7"/>
        <v>1924336.6870930642</v>
      </c>
    </row>
    <row r="49" spans="1:13" x14ac:dyDescent="0.3">
      <c r="A49" s="1" t="s">
        <v>59</v>
      </c>
      <c r="B49" s="1" t="s">
        <v>40</v>
      </c>
      <c r="C49" s="1">
        <v>19.377157211303711</v>
      </c>
      <c r="D49" s="1">
        <v>19.418052673339844</v>
      </c>
      <c r="E49" s="1">
        <v>5.076267197728157E-2</v>
      </c>
      <c r="F49" s="1">
        <f t="shared" si="2"/>
        <v>7.0639369707713842</v>
      </c>
      <c r="G49" s="1">
        <f t="shared" si="3"/>
        <v>11586091.948123734</v>
      </c>
      <c r="H49" s="2">
        <f t="shared" si="4"/>
        <v>2317218.389624747</v>
      </c>
      <c r="K49">
        <f t="shared" si="5"/>
        <v>6.983251064009881</v>
      </c>
      <c r="L49">
        <f t="shared" si="6"/>
        <v>9621683.4354653209</v>
      </c>
      <c r="M49" s="3">
        <f t="shared" si="7"/>
        <v>1924336.6870930642</v>
      </c>
    </row>
    <row r="50" spans="1:13" x14ac:dyDescent="0.3">
      <c r="A50" t="s">
        <v>60</v>
      </c>
      <c r="B50" t="s">
        <v>167</v>
      </c>
      <c r="C50">
        <v>15.430198669433594</v>
      </c>
      <c r="D50">
        <v>15.40431022644043</v>
      </c>
      <c r="E50">
        <v>3.6611113697290421E-2</v>
      </c>
      <c r="F50">
        <f t="shared" si="2"/>
        <v>8.1437998798890394</v>
      </c>
      <c r="G50">
        <f t="shared" si="3"/>
        <v>139251499.31108612</v>
      </c>
      <c r="H50" s="3">
        <f t="shared" si="4"/>
        <v>27850299.862217225</v>
      </c>
      <c r="K50">
        <f t="shared" si="5"/>
        <v>8.0119146501856964</v>
      </c>
      <c r="L50">
        <f t="shared" si="6"/>
        <v>102781428.68582973</v>
      </c>
      <c r="M50" s="3">
        <f t="shared" si="7"/>
        <v>20556285.737165947</v>
      </c>
    </row>
    <row r="51" spans="1:13" x14ac:dyDescent="0.3">
      <c r="A51" t="s">
        <v>62</v>
      </c>
      <c r="B51" t="s">
        <v>167</v>
      </c>
      <c r="C51">
        <v>15.378422737121582</v>
      </c>
      <c r="D51">
        <v>15.40431022644043</v>
      </c>
      <c r="E51">
        <v>3.6611113697290421E-2</v>
      </c>
      <c r="F51">
        <f t="shared" si="2"/>
        <v>8.1437998798890394</v>
      </c>
      <c r="G51">
        <f t="shared" si="3"/>
        <v>139251499.31108612</v>
      </c>
      <c r="H51" s="3">
        <f t="shared" si="4"/>
        <v>27850299.862217225</v>
      </c>
      <c r="K51">
        <f t="shared" si="5"/>
        <v>8.0119146501856964</v>
      </c>
      <c r="L51">
        <f t="shared" si="6"/>
        <v>102781428.68582973</v>
      </c>
      <c r="M51" s="3">
        <f t="shared" si="7"/>
        <v>20556285.737165947</v>
      </c>
    </row>
    <row r="52" spans="1:13" x14ac:dyDescent="0.3">
      <c r="A52" t="s">
        <v>63</v>
      </c>
      <c r="B52" t="s">
        <v>168</v>
      </c>
      <c r="C52">
        <v>15.863962173461914</v>
      </c>
      <c r="D52">
        <v>15.982389450073242</v>
      </c>
      <c r="E52">
        <v>0.16748146712779999</v>
      </c>
      <c r="F52">
        <f t="shared" si="2"/>
        <v>7.9882726330885303</v>
      </c>
      <c r="G52">
        <f t="shared" si="3"/>
        <v>97335806.814757958</v>
      </c>
      <c r="H52" s="3">
        <f t="shared" si="4"/>
        <v>19467161.362951592</v>
      </c>
      <c r="K52">
        <f t="shared" si="5"/>
        <v>7.8637613854600978</v>
      </c>
      <c r="L52">
        <f t="shared" si="6"/>
        <v>73073748.386579558</v>
      </c>
      <c r="M52" s="3">
        <f t="shared" si="7"/>
        <v>14614749.677315911</v>
      </c>
    </row>
    <row r="53" spans="1:13" x14ac:dyDescent="0.3">
      <c r="A53" t="s">
        <v>65</v>
      </c>
      <c r="B53" t="s">
        <v>168</v>
      </c>
      <c r="C53">
        <v>16.10081672668457</v>
      </c>
      <c r="D53">
        <v>15.982389450073242</v>
      </c>
      <c r="E53">
        <v>0.16748146712779999</v>
      </c>
      <c r="F53">
        <f t="shared" si="2"/>
        <v>7.9882726330885303</v>
      </c>
      <c r="G53">
        <f t="shared" si="3"/>
        <v>97335806.814757958</v>
      </c>
      <c r="H53" s="3">
        <f t="shared" si="4"/>
        <v>19467161.362951592</v>
      </c>
      <c r="K53">
        <f t="shared" si="5"/>
        <v>7.8637613854600978</v>
      </c>
      <c r="L53">
        <f t="shared" si="6"/>
        <v>73073748.386579558</v>
      </c>
      <c r="M53" s="3">
        <f t="shared" si="7"/>
        <v>14614749.677315911</v>
      </c>
    </row>
    <row r="54" spans="1:13" x14ac:dyDescent="0.3">
      <c r="A54" t="s">
        <v>66</v>
      </c>
      <c r="B54" t="s">
        <v>169</v>
      </c>
      <c r="C54">
        <v>13.100751876831055</v>
      </c>
      <c r="D54">
        <v>13.233261108398438</v>
      </c>
      <c r="E54">
        <v>0.18739703297615051</v>
      </c>
      <c r="F54">
        <f t="shared" si="2"/>
        <v>8.7279019859564588</v>
      </c>
      <c r="G54">
        <f t="shared" si="3"/>
        <v>534443729.49112433</v>
      </c>
      <c r="H54" s="3">
        <f t="shared" si="4"/>
        <v>106888745.89822486</v>
      </c>
      <c r="K54">
        <f t="shared" si="5"/>
        <v>8.5683228405652532</v>
      </c>
      <c r="L54">
        <f t="shared" si="6"/>
        <v>370103200.3757053</v>
      </c>
      <c r="M54" s="3">
        <f t="shared" si="7"/>
        <v>74020640.075141057</v>
      </c>
    </row>
    <row r="55" spans="1:13" x14ac:dyDescent="0.3">
      <c r="A55" t="s">
        <v>68</v>
      </c>
      <c r="B55" t="s">
        <v>169</v>
      </c>
      <c r="C55">
        <v>13.365771293640137</v>
      </c>
      <c r="D55">
        <v>13.233261108398438</v>
      </c>
      <c r="E55">
        <v>0.18739703297615051</v>
      </c>
      <c r="F55">
        <f t="shared" si="2"/>
        <v>8.7279019859564588</v>
      </c>
      <c r="G55">
        <f t="shared" si="3"/>
        <v>534443729.49112433</v>
      </c>
      <c r="H55" s="3">
        <f t="shared" si="4"/>
        <v>106888745.89822486</v>
      </c>
      <c r="K55">
        <f t="shared" si="5"/>
        <v>8.5683228405652532</v>
      </c>
      <c r="L55">
        <f t="shared" si="6"/>
        <v>370103200.3757053</v>
      </c>
      <c r="M55" s="3">
        <f t="shared" si="7"/>
        <v>74020640.075141057</v>
      </c>
    </row>
    <row r="56" spans="1:13" x14ac:dyDescent="0.3">
      <c r="A56" t="s">
        <v>69</v>
      </c>
      <c r="B56" t="s">
        <v>170</v>
      </c>
      <c r="C56">
        <v>11.467789649963379</v>
      </c>
      <c r="D56">
        <v>11.467789649963379</v>
      </c>
      <c r="E56" t="s">
        <v>38</v>
      </c>
      <c r="F56">
        <f t="shared" si="2"/>
        <v>9.2028869084550617</v>
      </c>
      <c r="G56">
        <f t="shared" si="3"/>
        <v>1595463629.7732673</v>
      </c>
      <c r="H56" s="3">
        <f t="shared" si="4"/>
        <v>319092725.95465344</v>
      </c>
      <c r="K56">
        <f t="shared" si="5"/>
        <v>9.0207873984562958</v>
      </c>
      <c r="L56">
        <f t="shared" si="6"/>
        <v>1049028768.5831945</v>
      </c>
      <c r="M56" s="3">
        <f t="shared" si="7"/>
        <v>209805753.71663889</v>
      </c>
    </row>
    <row r="57" spans="1:13" x14ac:dyDescent="0.3">
      <c r="A57" t="s">
        <v>71</v>
      </c>
      <c r="B57" t="s">
        <v>170</v>
      </c>
      <c r="C57" t="s">
        <v>142</v>
      </c>
      <c r="D57">
        <v>11.467789649963379</v>
      </c>
      <c r="E57" t="s">
        <v>38</v>
      </c>
      <c r="F57">
        <f t="shared" si="2"/>
        <v>9.2028869084550617</v>
      </c>
      <c r="G57">
        <f t="shared" si="3"/>
        <v>1595463629.7732673</v>
      </c>
      <c r="H57" s="3">
        <f t="shared" si="4"/>
        <v>319092725.95465344</v>
      </c>
      <c r="K57">
        <f t="shared" si="5"/>
        <v>9.0207873984562958</v>
      </c>
      <c r="L57">
        <f t="shared" si="6"/>
        <v>1049028768.5831945</v>
      </c>
      <c r="M57" s="3">
        <f t="shared" si="7"/>
        <v>209805753.71663889</v>
      </c>
    </row>
    <row r="58" spans="1:13" x14ac:dyDescent="0.3">
      <c r="A58" t="s">
        <v>72</v>
      </c>
      <c r="B58" t="s">
        <v>38</v>
      </c>
      <c r="C58" t="s">
        <v>38</v>
      </c>
      <c r="D58" t="s">
        <v>38</v>
      </c>
      <c r="E58" t="s">
        <v>38</v>
      </c>
      <c r="F58" t="e">
        <f t="shared" si="2"/>
        <v>#VALUE!</v>
      </c>
      <c r="G58" t="e">
        <f t="shared" si="3"/>
        <v>#VALUE!</v>
      </c>
      <c r="H58" s="3" t="e">
        <f t="shared" si="4"/>
        <v>#VALUE!</v>
      </c>
      <c r="K58" t="e">
        <f t="shared" si="5"/>
        <v>#VALUE!</v>
      </c>
      <c r="L58" t="e">
        <f t="shared" si="6"/>
        <v>#VALUE!</v>
      </c>
      <c r="M58" s="3" t="e">
        <f t="shared" si="7"/>
        <v>#VALUE!</v>
      </c>
    </row>
    <row r="59" spans="1:13" x14ac:dyDescent="0.3">
      <c r="A59" s="1" t="s">
        <v>73</v>
      </c>
      <c r="B59" s="1" t="s">
        <v>57</v>
      </c>
      <c r="C59" s="1">
        <v>22.796171188354492</v>
      </c>
      <c r="D59" s="1">
        <v>22.993682861328125</v>
      </c>
      <c r="E59" s="1">
        <v>0.17117948830127716</v>
      </c>
      <c r="F59" s="1">
        <f t="shared" si="2"/>
        <v>6.1019443995458245</v>
      </c>
      <c r="G59" s="1">
        <f t="shared" si="3"/>
        <v>1264574.4402466591</v>
      </c>
      <c r="H59" s="2">
        <f t="shared" si="4"/>
        <v>252914.88804933181</v>
      </c>
      <c r="K59">
        <f t="shared" si="5"/>
        <v>6.0668692531002515</v>
      </c>
      <c r="L59">
        <f t="shared" si="6"/>
        <v>1166458.3950569164</v>
      </c>
      <c r="M59" s="3">
        <f t="shared" si="7"/>
        <v>233291.67901138327</v>
      </c>
    </row>
    <row r="60" spans="1:13" x14ac:dyDescent="0.3">
      <c r="A60" s="1" t="s">
        <v>75</v>
      </c>
      <c r="B60" s="1" t="s">
        <v>57</v>
      </c>
      <c r="C60" s="1">
        <v>23.099092483520508</v>
      </c>
      <c r="D60" s="1">
        <v>22.993682861328125</v>
      </c>
      <c r="E60" s="1">
        <v>0.17117948830127716</v>
      </c>
      <c r="F60" s="1">
        <f t="shared" si="2"/>
        <v>6.1019443995458245</v>
      </c>
      <c r="G60" s="1">
        <f t="shared" si="3"/>
        <v>1264574.4402466591</v>
      </c>
      <c r="H60" s="2">
        <f t="shared" si="4"/>
        <v>252914.88804933181</v>
      </c>
      <c r="K60">
        <f t="shared" si="5"/>
        <v>6.0668692531002515</v>
      </c>
      <c r="L60">
        <f t="shared" si="6"/>
        <v>1166458.3950569164</v>
      </c>
      <c r="M60" s="3">
        <f t="shared" si="7"/>
        <v>233291.67901138327</v>
      </c>
    </row>
    <row r="61" spans="1:13" x14ac:dyDescent="0.3">
      <c r="A61" s="1" t="s">
        <v>76</v>
      </c>
      <c r="B61" s="1" t="s">
        <v>57</v>
      </c>
      <c r="C61" s="1">
        <v>23.085784912109375</v>
      </c>
      <c r="D61" s="1">
        <v>22.993682861328125</v>
      </c>
      <c r="E61" s="1">
        <v>0.17117948830127716</v>
      </c>
      <c r="F61" s="1">
        <f t="shared" si="2"/>
        <v>6.1019443995458245</v>
      </c>
      <c r="G61" s="1">
        <f t="shared" si="3"/>
        <v>1264574.4402466591</v>
      </c>
      <c r="H61" s="2">
        <f t="shared" si="4"/>
        <v>252914.88804933181</v>
      </c>
      <c r="K61">
        <f t="shared" si="5"/>
        <v>6.0668692531002515</v>
      </c>
      <c r="L61">
        <f t="shared" si="6"/>
        <v>1166458.3950569164</v>
      </c>
      <c r="M61" s="3">
        <f t="shared" si="7"/>
        <v>233291.67901138327</v>
      </c>
    </row>
    <row r="62" spans="1:13" x14ac:dyDescent="0.3">
      <c r="A62" t="s">
        <v>77</v>
      </c>
      <c r="B62" t="s">
        <v>171</v>
      </c>
      <c r="C62">
        <v>15.478682518005371</v>
      </c>
      <c r="D62">
        <v>15.483768463134766</v>
      </c>
      <c r="E62">
        <v>7.1932869032025337E-3</v>
      </c>
      <c r="F62">
        <f t="shared" si="2"/>
        <v>8.1224223242124438</v>
      </c>
      <c r="G62">
        <f t="shared" si="3"/>
        <v>132563000.08561055</v>
      </c>
      <c r="H62" s="3">
        <f t="shared" si="4"/>
        <v>26512600.017122112</v>
      </c>
      <c r="K62">
        <f t="shared" si="5"/>
        <v>7.9915506642572165</v>
      </c>
      <c r="L62">
        <f t="shared" si="6"/>
        <v>98073271.871491</v>
      </c>
      <c r="M62" s="3">
        <f t="shared" si="7"/>
        <v>19614654.3742982</v>
      </c>
    </row>
    <row r="63" spans="1:13" x14ac:dyDescent="0.3">
      <c r="A63" t="s">
        <v>79</v>
      </c>
      <c r="B63" t="s">
        <v>171</v>
      </c>
      <c r="C63">
        <v>15.488855361938477</v>
      </c>
      <c r="D63">
        <v>15.483768463134766</v>
      </c>
      <c r="E63">
        <v>7.1932869032025337E-3</v>
      </c>
      <c r="F63">
        <f t="shared" si="2"/>
        <v>8.1224223242124438</v>
      </c>
      <c r="G63">
        <f t="shared" si="3"/>
        <v>132563000.08561055</v>
      </c>
      <c r="H63" s="3">
        <f t="shared" si="4"/>
        <v>26512600.017122112</v>
      </c>
      <c r="K63">
        <f t="shared" si="5"/>
        <v>7.9915506642572165</v>
      </c>
      <c r="L63">
        <f t="shared" si="6"/>
        <v>98073271.871491</v>
      </c>
      <c r="M63" s="3">
        <f t="shared" si="7"/>
        <v>19614654.3742982</v>
      </c>
    </row>
    <row r="64" spans="1:13" x14ac:dyDescent="0.3">
      <c r="A64" t="s">
        <v>80</v>
      </c>
      <c r="B64" t="s">
        <v>172</v>
      </c>
      <c r="C64">
        <v>14.742051124572754</v>
      </c>
      <c r="D64">
        <v>14.883977890014648</v>
      </c>
      <c r="E64">
        <v>0.20071475207805634</v>
      </c>
      <c r="F64">
        <f t="shared" si="2"/>
        <v>8.2837908229937192</v>
      </c>
      <c r="G64">
        <f t="shared" si="3"/>
        <v>192216569.8929235</v>
      </c>
      <c r="H64" s="3">
        <f t="shared" si="4"/>
        <v>38443313.978584699</v>
      </c>
      <c r="K64">
        <f t="shared" si="5"/>
        <v>8.1452682308581323</v>
      </c>
      <c r="L64">
        <f t="shared" si="6"/>
        <v>139723105.85768753</v>
      </c>
      <c r="M64" s="3">
        <f t="shared" si="7"/>
        <v>27944621.171537507</v>
      </c>
    </row>
    <row r="65" spans="1:13" x14ac:dyDescent="0.3">
      <c r="A65" t="s">
        <v>82</v>
      </c>
      <c r="B65" t="s">
        <v>172</v>
      </c>
      <c r="C65">
        <v>15.025904655456543</v>
      </c>
      <c r="D65">
        <v>14.883977890014648</v>
      </c>
      <c r="E65">
        <v>0.20071475207805634</v>
      </c>
      <c r="F65">
        <f t="shared" si="2"/>
        <v>8.2837908229937192</v>
      </c>
      <c r="G65">
        <f t="shared" si="3"/>
        <v>192216569.8929235</v>
      </c>
      <c r="H65" s="3">
        <f t="shared" si="4"/>
        <v>38443313.978584699</v>
      </c>
      <c r="K65">
        <f t="shared" si="5"/>
        <v>8.1452682308581323</v>
      </c>
      <c r="L65">
        <f t="shared" si="6"/>
        <v>139723105.85768753</v>
      </c>
      <c r="M65" s="3">
        <f t="shared" si="7"/>
        <v>27944621.171537507</v>
      </c>
    </row>
    <row r="66" spans="1:13" x14ac:dyDescent="0.3">
      <c r="A66" t="s">
        <v>83</v>
      </c>
      <c r="B66" t="s">
        <v>173</v>
      </c>
      <c r="C66">
        <v>18.202985763549805</v>
      </c>
      <c r="D66">
        <v>18.268882751464844</v>
      </c>
      <c r="E66">
        <v>9.3191064894199371E-2</v>
      </c>
      <c r="F66">
        <f t="shared" si="2"/>
        <v>7.3731112616791297</v>
      </c>
      <c r="G66">
        <f t="shared" si="3"/>
        <v>23610830.403499391</v>
      </c>
      <c r="H66" s="3">
        <f t="shared" si="4"/>
        <v>4722166.0806998778</v>
      </c>
      <c r="K66">
        <f t="shared" si="5"/>
        <v>7.2777665364399793</v>
      </c>
      <c r="L66">
        <f t="shared" si="6"/>
        <v>18956865.83560393</v>
      </c>
      <c r="M66" s="3">
        <f t="shared" si="7"/>
        <v>3791373.1671207859</v>
      </c>
    </row>
    <row r="67" spans="1:13" x14ac:dyDescent="0.3">
      <c r="A67" t="s">
        <v>85</v>
      </c>
      <c r="B67" t="s">
        <v>173</v>
      </c>
      <c r="C67">
        <v>18.33477783203125</v>
      </c>
      <c r="D67">
        <v>18.268882751464844</v>
      </c>
      <c r="E67">
        <v>9.3191064894199371E-2</v>
      </c>
      <c r="F67">
        <f t="shared" si="2"/>
        <v>7.3731112616791297</v>
      </c>
      <c r="G67">
        <f t="shared" si="3"/>
        <v>23610830.403499391</v>
      </c>
      <c r="H67" s="3">
        <f t="shared" si="4"/>
        <v>4722166.0806998778</v>
      </c>
      <c r="K67">
        <f t="shared" si="5"/>
        <v>7.2777665364399793</v>
      </c>
      <c r="L67">
        <f t="shared" si="6"/>
        <v>18956865.83560393</v>
      </c>
      <c r="M67" s="3">
        <f t="shared" si="7"/>
        <v>3791373.1671207859</v>
      </c>
    </row>
    <row r="68" spans="1:13" x14ac:dyDescent="0.3">
      <c r="A68" t="s">
        <v>86</v>
      </c>
      <c r="B68" t="s">
        <v>174</v>
      </c>
      <c r="C68">
        <v>16.569511413574219</v>
      </c>
      <c r="D68">
        <v>16.569511413574219</v>
      </c>
      <c r="E68" t="s">
        <v>38</v>
      </c>
      <c r="F68">
        <f t="shared" si="2"/>
        <v>7.8303125148445698</v>
      </c>
      <c r="G68">
        <f t="shared" si="3"/>
        <v>67656965.43917495</v>
      </c>
      <c r="H68" s="3">
        <f t="shared" si="4"/>
        <v>13531393.08783499</v>
      </c>
      <c r="K68">
        <f t="shared" si="5"/>
        <v>7.7132905985355285</v>
      </c>
      <c r="L68">
        <f t="shared" si="6"/>
        <v>51676203.348390236</v>
      </c>
      <c r="M68" s="3">
        <f t="shared" si="7"/>
        <v>10335240.669678047</v>
      </c>
    </row>
    <row r="69" spans="1:13" x14ac:dyDescent="0.3">
      <c r="A69" t="s">
        <v>88</v>
      </c>
      <c r="B69" t="s">
        <v>174</v>
      </c>
      <c r="C69" t="s">
        <v>142</v>
      </c>
      <c r="D69">
        <v>16.569511413574219</v>
      </c>
      <c r="E69" t="s">
        <v>38</v>
      </c>
      <c r="F69">
        <f t="shared" si="2"/>
        <v>7.8303125148445698</v>
      </c>
      <c r="G69">
        <f t="shared" si="3"/>
        <v>67656965.43917495</v>
      </c>
      <c r="H69" s="3">
        <f t="shared" si="4"/>
        <v>13531393.08783499</v>
      </c>
      <c r="K69">
        <f t="shared" si="5"/>
        <v>7.7132905985355285</v>
      </c>
      <c r="L69">
        <f t="shared" si="6"/>
        <v>51676203.348390236</v>
      </c>
      <c r="M69" s="3">
        <f t="shared" si="7"/>
        <v>10335240.669678047</v>
      </c>
    </row>
    <row r="70" spans="1:13" x14ac:dyDescent="0.3">
      <c r="A70" t="s">
        <v>89</v>
      </c>
      <c r="B70" t="s">
        <v>38</v>
      </c>
      <c r="C70" t="s">
        <v>38</v>
      </c>
      <c r="D70" t="s">
        <v>38</v>
      </c>
      <c r="E70" t="s">
        <v>38</v>
      </c>
      <c r="F70" t="e">
        <f t="shared" si="2"/>
        <v>#VALUE!</v>
      </c>
      <c r="G70" t="e">
        <f t="shared" si="3"/>
        <v>#VALUE!</v>
      </c>
      <c r="H70" s="3" t="e">
        <f t="shared" si="4"/>
        <v>#VALUE!</v>
      </c>
      <c r="K70" t="e">
        <f t="shared" si="5"/>
        <v>#VALUE!</v>
      </c>
      <c r="L70" t="e">
        <f t="shared" si="6"/>
        <v>#VALUE!</v>
      </c>
      <c r="M70" s="3" t="e">
        <f t="shared" si="7"/>
        <v>#VALUE!</v>
      </c>
    </row>
    <row r="71" spans="1:13" x14ac:dyDescent="0.3">
      <c r="A71" s="1" t="s">
        <v>90</v>
      </c>
      <c r="B71" s="1" t="s">
        <v>74</v>
      </c>
      <c r="C71" s="1">
        <v>27.119592666625977</v>
      </c>
      <c r="D71" s="1">
        <v>27.070867538452148</v>
      </c>
      <c r="E71" s="1">
        <v>4.220590740442276E-2</v>
      </c>
      <c r="F71" s="1">
        <f t="shared" si="2"/>
        <v>5.0050129036422426</v>
      </c>
      <c r="G71" s="1">
        <f t="shared" si="3"/>
        <v>101160.95104863505</v>
      </c>
      <c r="H71" s="2">
        <f t="shared" si="4"/>
        <v>20232.19020972701</v>
      </c>
      <c r="K71">
        <f t="shared" si="5"/>
        <v>5.0219463496111763</v>
      </c>
      <c r="L71">
        <f t="shared" si="6"/>
        <v>105183.19281756951</v>
      </c>
      <c r="M71" s="3">
        <f t="shared" si="7"/>
        <v>21036.638563513901</v>
      </c>
    </row>
    <row r="72" spans="1:13" x14ac:dyDescent="0.3">
      <c r="A72" s="1" t="s">
        <v>92</v>
      </c>
      <c r="B72" s="1" t="s">
        <v>74</v>
      </c>
      <c r="C72" s="1">
        <v>27.047389984130859</v>
      </c>
      <c r="D72" s="1">
        <v>27.070867538452148</v>
      </c>
      <c r="E72" s="1">
        <v>4.220590740442276E-2</v>
      </c>
      <c r="F72" s="1">
        <f t="shared" si="2"/>
        <v>5.0050129036422426</v>
      </c>
      <c r="G72" s="1">
        <f t="shared" si="3"/>
        <v>101160.95104863505</v>
      </c>
      <c r="H72" s="2">
        <f t="shared" si="4"/>
        <v>20232.19020972701</v>
      </c>
      <c r="K72">
        <f t="shared" si="5"/>
        <v>5.0219463496111763</v>
      </c>
      <c r="L72">
        <f t="shared" si="6"/>
        <v>105183.19281756951</v>
      </c>
      <c r="M72" s="3">
        <f t="shared" si="7"/>
        <v>21036.638563513901</v>
      </c>
    </row>
    <row r="73" spans="1:13" x14ac:dyDescent="0.3">
      <c r="A73" s="1" t="s">
        <v>93</v>
      </c>
      <c r="B73" s="1" t="s">
        <v>74</v>
      </c>
      <c r="C73" s="1">
        <v>27.045621871948242</v>
      </c>
      <c r="D73" s="1">
        <v>27.070867538452148</v>
      </c>
      <c r="E73" s="1">
        <v>4.220590740442276E-2</v>
      </c>
      <c r="F73" s="1">
        <f t="shared" si="2"/>
        <v>5.0050129036422426</v>
      </c>
      <c r="G73" s="1">
        <f t="shared" si="3"/>
        <v>101160.95104863505</v>
      </c>
      <c r="H73" s="2">
        <f t="shared" si="4"/>
        <v>20232.19020972701</v>
      </c>
      <c r="K73">
        <f t="shared" si="5"/>
        <v>5.0219463496111763</v>
      </c>
      <c r="L73">
        <f t="shared" si="6"/>
        <v>105183.19281756951</v>
      </c>
      <c r="M73" s="3">
        <f t="shared" si="7"/>
        <v>21036.638563513901</v>
      </c>
    </row>
    <row r="74" spans="1:13" x14ac:dyDescent="0.3">
      <c r="A74" t="s">
        <v>94</v>
      </c>
      <c r="B74" t="s">
        <v>175</v>
      </c>
      <c r="C74">
        <v>13.608055114746094</v>
      </c>
      <c r="D74">
        <v>13.638084411621094</v>
      </c>
      <c r="E74">
        <v>4.2468514293432236E-2</v>
      </c>
      <c r="F74">
        <f t="shared" si="2"/>
        <v>8.6189877554894956</v>
      </c>
      <c r="G74">
        <f t="shared" si="3"/>
        <v>415898884.46419501</v>
      </c>
      <c r="H74" s="3">
        <f t="shared" si="4"/>
        <v>83179776.892839</v>
      </c>
      <c r="K74">
        <f t="shared" si="5"/>
        <v>8.4645725386039885</v>
      </c>
      <c r="L74">
        <f t="shared" si="6"/>
        <v>291455690.17976111</v>
      </c>
      <c r="M74" s="3">
        <f t="shared" si="7"/>
        <v>58291138.035952225</v>
      </c>
    </row>
    <row r="75" spans="1:13" x14ac:dyDescent="0.3">
      <c r="A75" t="s">
        <v>96</v>
      </c>
      <c r="B75" t="s">
        <v>175</v>
      </c>
      <c r="C75">
        <v>13.66811466217041</v>
      </c>
      <c r="D75">
        <v>13.638084411621094</v>
      </c>
      <c r="E75">
        <v>4.2468514293432236E-2</v>
      </c>
      <c r="F75">
        <f t="shared" si="2"/>
        <v>8.6189877554894956</v>
      </c>
      <c r="G75">
        <f t="shared" si="3"/>
        <v>415898884.46419501</v>
      </c>
      <c r="H75" s="3">
        <f t="shared" si="4"/>
        <v>83179776.892839</v>
      </c>
      <c r="K75">
        <f t="shared" si="5"/>
        <v>8.4645725386039885</v>
      </c>
      <c r="L75">
        <f t="shared" si="6"/>
        <v>291455690.17976111</v>
      </c>
      <c r="M75" s="3">
        <f t="shared" si="7"/>
        <v>58291138.035952225</v>
      </c>
    </row>
    <row r="76" spans="1:13" x14ac:dyDescent="0.3">
      <c r="A76" t="s">
        <v>97</v>
      </c>
      <c r="B76" t="s">
        <v>176</v>
      </c>
      <c r="C76">
        <v>12.673007011413574</v>
      </c>
      <c r="D76">
        <v>12.691967010498047</v>
      </c>
      <c r="E76">
        <v>2.6814162731170654E-2</v>
      </c>
      <c r="F76">
        <f t="shared" si="2"/>
        <v>8.8735325108294418</v>
      </c>
      <c r="G76">
        <f t="shared" si="3"/>
        <v>747364579.02584004</v>
      </c>
      <c r="H76" s="3">
        <f t="shared" si="4"/>
        <v>149472915.805168</v>
      </c>
      <c r="K76">
        <f t="shared" si="5"/>
        <v>8.7070486146497732</v>
      </c>
      <c r="L76">
        <f t="shared" si="6"/>
        <v>509387888.42412227</v>
      </c>
      <c r="M76" s="3">
        <f t="shared" si="7"/>
        <v>101877577.68482445</v>
      </c>
    </row>
    <row r="77" spans="1:13" x14ac:dyDescent="0.3">
      <c r="A77" t="s">
        <v>99</v>
      </c>
      <c r="B77" t="s">
        <v>176</v>
      </c>
      <c r="C77">
        <v>12.710927963256836</v>
      </c>
      <c r="D77">
        <v>12.691967010498047</v>
      </c>
      <c r="E77">
        <v>2.6814162731170654E-2</v>
      </c>
      <c r="F77">
        <f t="shared" si="2"/>
        <v>8.8735325108294418</v>
      </c>
      <c r="G77">
        <f t="shared" si="3"/>
        <v>747364579.02584004</v>
      </c>
      <c r="H77" s="3">
        <f t="shared" si="4"/>
        <v>149472915.805168</v>
      </c>
      <c r="K77">
        <f t="shared" si="5"/>
        <v>8.7070486146497732</v>
      </c>
      <c r="L77">
        <f t="shared" si="6"/>
        <v>509387888.42412227</v>
      </c>
      <c r="M77" s="3">
        <f t="shared" si="7"/>
        <v>101877577.68482445</v>
      </c>
    </row>
    <row r="78" spans="1:13" x14ac:dyDescent="0.3">
      <c r="A78" t="s">
        <v>100</v>
      </c>
      <c r="B78" t="s">
        <v>177</v>
      </c>
      <c r="C78">
        <v>13.180641174316406</v>
      </c>
      <c r="D78">
        <v>13.044485092163086</v>
      </c>
      <c r="E78">
        <v>0.19255445897579193</v>
      </c>
      <c r="F78">
        <f t="shared" si="2"/>
        <v>8.7786905506838799</v>
      </c>
      <c r="G78">
        <f t="shared" si="3"/>
        <v>600745533.69960105</v>
      </c>
      <c r="H78" s="3">
        <f t="shared" si="4"/>
        <v>120149106.73992021</v>
      </c>
      <c r="K78">
        <f t="shared" si="5"/>
        <v>8.6167033772871964</v>
      </c>
      <c r="L78">
        <f t="shared" si="6"/>
        <v>413717009.98151088</v>
      </c>
      <c r="M78" s="3">
        <f t="shared" si="7"/>
        <v>82743401.996302173</v>
      </c>
    </row>
    <row r="79" spans="1:13" x14ac:dyDescent="0.3">
      <c r="A79" t="s">
        <v>102</v>
      </c>
      <c r="B79" t="s">
        <v>177</v>
      </c>
      <c r="C79">
        <v>12.908328056335449</v>
      </c>
      <c r="D79">
        <v>13.044485092163086</v>
      </c>
      <c r="E79">
        <v>0.19255445897579193</v>
      </c>
      <c r="F79">
        <f t="shared" si="2"/>
        <v>8.7786905506838799</v>
      </c>
      <c r="G79">
        <f t="shared" si="3"/>
        <v>600745533.69960105</v>
      </c>
      <c r="H79" s="3">
        <f t="shared" si="4"/>
        <v>120149106.73992021</v>
      </c>
      <c r="K79">
        <f t="shared" si="5"/>
        <v>8.6167033772871964</v>
      </c>
      <c r="L79">
        <f t="shared" si="6"/>
        <v>413717009.98151088</v>
      </c>
      <c r="M79" s="3">
        <f t="shared" si="7"/>
        <v>82743401.996302173</v>
      </c>
    </row>
    <row r="80" spans="1:13" x14ac:dyDescent="0.3">
      <c r="A80" t="s">
        <v>103</v>
      </c>
      <c r="B80" t="s">
        <v>178</v>
      </c>
      <c r="C80">
        <v>17.518703460693359</v>
      </c>
      <c r="D80">
        <v>17.518703460693359</v>
      </c>
      <c r="E80" t="s">
        <v>38</v>
      </c>
      <c r="F80">
        <f t="shared" si="2"/>
        <v>7.5749405524245041</v>
      </c>
      <c r="G80">
        <f t="shared" si="3"/>
        <v>37578596.201988585</v>
      </c>
      <c r="H80" s="3">
        <f t="shared" si="4"/>
        <v>7515719.2403977169</v>
      </c>
      <c r="K80">
        <f t="shared" si="5"/>
        <v>7.4700265356125577</v>
      </c>
      <c r="L80">
        <f t="shared" si="6"/>
        <v>29513895.525521256</v>
      </c>
      <c r="M80" s="3">
        <f t="shared" si="7"/>
        <v>5902779.1051042508</v>
      </c>
    </row>
    <row r="81" spans="1:13" x14ac:dyDescent="0.3">
      <c r="A81" t="s">
        <v>105</v>
      </c>
      <c r="B81" t="s">
        <v>178</v>
      </c>
      <c r="C81" t="s">
        <v>142</v>
      </c>
      <c r="D81">
        <v>17.518703460693359</v>
      </c>
      <c r="E81" t="s">
        <v>38</v>
      </c>
      <c r="F81">
        <f t="shared" si="2"/>
        <v>7.5749405524245041</v>
      </c>
      <c r="G81">
        <f t="shared" si="3"/>
        <v>37578596.201988585</v>
      </c>
      <c r="H81" s="3">
        <f t="shared" si="4"/>
        <v>7515719.2403977169</v>
      </c>
      <c r="K81">
        <f t="shared" si="5"/>
        <v>7.4700265356125577</v>
      </c>
      <c r="L81">
        <f t="shared" si="6"/>
        <v>29513895.525521256</v>
      </c>
      <c r="M81" s="3">
        <f t="shared" si="7"/>
        <v>5902779.1051042508</v>
      </c>
    </row>
    <row r="82" spans="1:13" x14ac:dyDescent="0.3">
      <c r="A82" t="s">
        <v>106</v>
      </c>
      <c r="B82" t="s">
        <v>38</v>
      </c>
      <c r="C82" t="s">
        <v>38</v>
      </c>
      <c r="D82" t="s">
        <v>38</v>
      </c>
      <c r="E82" t="s">
        <v>38</v>
      </c>
      <c r="F82" t="e">
        <f t="shared" si="2"/>
        <v>#VALUE!</v>
      </c>
      <c r="G82" t="e">
        <f t="shared" si="3"/>
        <v>#VALUE!</v>
      </c>
      <c r="H82" s="3" t="e">
        <f t="shared" si="4"/>
        <v>#VALUE!</v>
      </c>
      <c r="K82" t="e">
        <f t="shared" si="5"/>
        <v>#VALUE!</v>
      </c>
      <c r="L82" t="e">
        <f t="shared" si="6"/>
        <v>#VALUE!</v>
      </c>
      <c r="M82" s="3" t="e">
        <f t="shared" si="7"/>
        <v>#VALUE!</v>
      </c>
    </row>
    <row r="83" spans="1:13" x14ac:dyDescent="0.3">
      <c r="A83" s="1" t="s">
        <v>107</v>
      </c>
      <c r="B83" s="1" t="s">
        <v>91</v>
      </c>
      <c r="C83" s="1">
        <v>31.232522964477539</v>
      </c>
      <c r="D83" s="1">
        <v>30.8297119140625</v>
      </c>
      <c r="E83" s="1">
        <v>0.40269476175308228</v>
      </c>
      <c r="F83" s="1">
        <f t="shared" si="2"/>
        <v>3.9937281298763754</v>
      </c>
      <c r="G83" s="1">
        <f t="shared" si="3"/>
        <v>9856.6226384732563</v>
      </c>
      <c r="H83" s="2">
        <f t="shared" si="4"/>
        <v>1971.3245276946514</v>
      </c>
      <c r="K83">
        <f t="shared" si="5"/>
        <v>4.0586094174472684</v>
      </c>
      <c r="L83">
        <f t="shared" si="6"/>
        <v>11444.831880052216</v>
      </c>
      <c r="M83" s="3">
        <f t="shared" si="7"/>
        <v>2288.9663760104431</v>
      </c>
    </row>
    <row r="84" spans="1:13" x14ac:dyDescent="0.3">
      <c r="A84" s="1" t="s">
        <v>109</v>
      </c>
      <c r="B84" s="1" t="s">
        <v>91</v>
      </c>
      <c r="C84" s="1">
        <v>30.829483032226563</v>
      </c>
      <c r="D84" s="1">
        <v>30.8297119140625</v>
      </c>
      <c r="E84" s="1">
        <v>0.40269476175308228</v>
      </c>
      <c r="F84" s="1">
        <f t="shared" si="2"/>
        <v>3.9937281298763754</v>
      </c>
      <c r="G84" s="1">
        <f t="shared" si="3"/>
        <v>9856.6226384732563</v>
      </c>
      <c r="H84" s="2">
        <f t="shared" si="4"/>
        <v>1971.3245276946514</v>
      </c>
      <c r="K84">
        <f t="shared" si="5"/>
        <v>4.0586094174472684</v>
      </c>
      <c r="L84">
        <f t="shared" si="6"/>
        <v>11444.831880052216</v>
      </c>
      <c r="M84" s="3">
        <f t="shared" si="7"/>
        <v>2288.9663760104431</v>
      </c>
    </row>
    <row r="85" spans="1:13" x14ac:dyDescent="0.3">
      <c r="A85" s="1" t="s">
        <v>110</v>
      </c>
      <c r="B85" s="1" t="s">
        <v>91</v>
      </c>
      <c r="C85" s="1">
        <v>30.427133560180664</v>
      </c>
      <c r="D85" s="1">
        <v>30.8297119140625</v>
      </c>
      <c r="E85" s="1">
        <v>0.40269476175308228</v>
      </c>
      <c r="F85" s="1">
        <f t="shared" si="2"/>
        <v>3.9937281298763754</v>
      </c>
      <c r="G85" s="1">
        <f t="shared" si="3"/>
        <v>9856.6226384732563</v>
      </c>
      <c r="H85" s="2">
        <f t="shared" si="4"/>
        <v>1971.3245276946514</v>
      </c>
      <c r="K85">
        <f t="shared" si="5"/>
        <v>4.0586094174472684</v>
      </c>
      <c r="L85">
        <f t="shared" si="6"/>
        <v>11444.831880052216</v>
      </c>
      <c r="M85" s="3">
        <f t="shared" si="7"/>
        <v>2288.9663760104431</v>
      </c>
    </row>
    <row r="86" spans="1:13" x14ac:dyDescent="0.3">
      <c r="A86" t="s">
        <v>111</v>
      </c>
      <c r="B86" t="s">
        <v>179</v>
      </c>
      <c r="C86">
        <v>19.592144012451172</v>
      </c>
      <c r="D86">
        <v>19.609184265136719</v>
      </c>
      <c r="E86">
        <v>2.4098556488752365E-2</v>
      </c>
      <c r="F86">
        <f t="shared" si="2"/>
        <v>7.0125146586841947</v>
      </c>
      <c r="G86">
        <f t="shared" si="3"/>
        <v>10292352.662499398</v>
      </c>
      <c r="H86" s="3">
        <f t="shared" si="4"/>
        <v>2058470.5324998796</v>
      </c>
      <c r="K86">
        <f t="shared" si="5"/>
        <v>6.9342668276642865</v>
      </c>
      <c r="L86">
        <f t="shared" si="6"/>
        <v>8595414.559084978</v>
      </c>
      <c r="M86" s="3">
        <f t="shared" si="7"/>
        <v>1719082.9118169956</v>
      </c>
    </row>
    <row r="87" spans="1:13" x14ac:dyDescent="0.3">
      <c r="A87" t="s">
        <v>113</v>
      </c>
      <c r="B87" t="s">
        <v>179</v>
      </c>
      <c r="C87">
        <v>19.626224517822266</v>
      </c>
      <c r="D87">
        <v>19.609184265136719</v>
      </c>
      <c r="E87">
        <v>2.4098556488752365E-2</v>
      </c>
      <c r="F87">
        <f t="shared" si="2"/>
        <v>7.0125146586841947</v>
      </c>
      <c r="G87">
        <f t="shared" si="3"/>
        <v>10292352.662499398</v>
      </c>
      <c r="H87" s="3">
        <f t="shared" si="4"/>
        <v>2058470.5324998796</v>
      </c>
      <c r="K87">
        <f t="shared" si="5"/>
        <v>6.9342668276642865</v>
      </c>
      <c r="L87">
        <f t="shared" si="6"/>
        <v>8595414.559084978</v>
      </c>
      <c r="M87" s="3">
        <f t="shared" si="7"/>
        <v>1719082.9118169956</v>
      </c>
    </row>
    <row r="88" spans="1:13" x14ac:dyDescent="0.3">
      <c r="A88" t="s">
        <v>114</v>
      </c>
      <c r="B88" t="s">
        <v>180</v>
      </c>
      <c r="C88">
        <v>15.771851539611816</v>
      </c>
      <c r="D88">
        <v>15.731428146362305</v>
      </c>
      <c r="E88">
        <v>5.7167310267686844E-2</v>
      </c>
      <c r="F88">
        <f t="shared" ref="F88:F118" si="8">(D88-45.674)/-3.7169</f>
        <v>8.0557916149580819</v>
      </c>
      <c r="G88">
        <f t="shared" ref="G88:G118" si="9">10^F88</f>
        <v>113708155.55552407</v>
      </c>
      <c r="H88" s="3">
        <f t="shared" ref="H88:H118" si="10">G88/5</f>
        <v>22741631.111104812</v>
      </c>
      <c r="K88">
        <f t="shared" ref="K88:K118" si="11">(D88-46.666)/-3.9019</f>
        <v>7.9280791034208189</v>
      </c>
      <c r="L88">
        <f t="shared" ref="L88:L118" si="12">10^K88</f>
        <v>84738174.419381186</v>
      </c>
      <c r="M88" s="3">
        <f t="shared" ref="M88:M118" si="13">L88/5</f>
        <v>16947634.883876238</v>
      </c>
    </row>
    <row r="89" spans="1:13" x14ac:dyDescent="0.3">
      <c r="A89" t="s">
        <v>116</v>
      </c>
      <c r="B89" t="s">
        <v>180</v>
      </c>
      <c r="C89">
        <v>15.691004753112793</v>
      </c>
      <c r="D89">
        <v>15.731428146362305</v>
      </c>
      <c r="E89">
        <v>5.7167310267686844E-2</v>
      </c>
      <c r="F89">
        <f t="shared" si="8"/>
        <v>8.0557916149580819</v>
      </c>
      <c r="G89">
        <f t="shared" si="9"/>
        <v>113708155.55552407</v>
      </c>
      <c r="H89" s="3">
        <f t="shared" si="10"/>
        <v>22741631.111104812</v>
      </c>
      <c r="K89">
        <f t="shared" si="11"/>
        <v>7.9280791034208189</v>
      </c>
      <c r="L89">
        <f t="shared" si="12"/>
        <v>84738174.419381186</v>
      </c>
      <c r="M89" s="3">
        <f t="shared" si="13"/>
        <v>16947634.883876238</v>
      </c>
    </row>
    <row r="90" spans="1:13" x14ac:dyDescent="0.3">
      <c r="A90" t="s">
        <v>117</v>
      </c>
      <c r="B90" t="s">
        <v>181</v>
      </c>
      <c r="C90">
        <v>16.291427612304688</v>
      </c>
      <c r="D90">
        <v>16.306907653808594</v>
      </c>
      <c r="E90">
        <v>2.1893434226512909E-2</v>
      </c>
      <c r="F90">
        <f t="shared" si="8"/>
        <v>7.9009637994542246</v>
      </c>
      <c r="G90">
        <f t="shared" si="9"/>
        <v>79609298.945018351</v>
      </c>
      <c r="H90" s="3">
        <f t="shared" si="10"/>
        <v>15921859.78900367</v>
      </c>
      <c r="K90">
        <f t="shared" si="11"/>
        <v>7.7805921079964646</v>
      </c>
      <c r="L90">
        <f t="shared" si="12"/>
        <v>60338166.346224345</v>
      </c>
      <c r="M90" s="3">
        <f t="shared" si="13"/>
        <v>12067633.269244868</v>
      </c>
    </row>
    <row r="91" spans="1:13" x14ac:dyDescent="0.3">
      <c r="A91" t="s">
        <v>119</v>
      </c>
      <c r="B91" t="s">
        <v>181</v>
      </c>
      <c r="C91">
        <v>16.322389602661133</v>
      </c>
      <c r="D91">
        <v>16.306907653808594</v>
      </c>
      <c r="E91">
        <v>2.1893434226512909E-2</v>
      </c>
      <c r="F91">
        <f t="shared" si="8"/>
        <v>7.9009637994542246</v>
      </c>
      <c r="G91">
        <f t="shared" si="9"/>
        <v>79609298.945018351</v>
      </c>
      <c r="H91" s="3">
        <f t="shared" si="10"/>
        <v>15921859.78900367</v>
      </c>
      <c r="K91">
        <f t="shared" si="11"/>
        <v>7.7805921079964646</v>
      </c>
      <c r="L91">
        <f t="shared" si="12"/>
        <v>60338166.346224345</v>
      </c>
      <c r="M91" s="3">
        <f t="shared" si="13"/>
        <v>12067633.269244868</v>
      </c>
    </row>
    <row r="92" spans="1:13" x14ac:dyDescent="0.3">
      <c r="A92" t="s">
        <v>120</v>
      </c>
      <c r="B92" t="s">
        <v>182</v>
      </c>
      <c r="C92">
        <v>16.232297897338867</v>
      </c>
      <c r="D92">
        <v>16.232297897338867</v>
      </c>
      <c r="E92" t="s">
        <v>38</v>
      </c>
      <c r="F92">
        <f t="shared" si="8"/>
        <v>7.9210369131967857</v>
      </c>
      <c r="G92">
        <f t="shared" si="9"/>
        <v>83375204.701086432</v>
      </c>
      <c r="H92" s="3">
        <f t="shared" si="10"/>
        <v>16675040.940217286</v>
      </c>
      <c r="K92">
        <f t="shared" si="11"/>
        <v>7.799713499233996</v>
      </c>
      <c r="L92">
        <f t="shared" si="12"/>
        <v>63054124.398403317</v>
      </c>
      <c r="M92" s="3">
        <f t="shared" si="13"/>
        <v>12610824.879680663</v>
      </c>
    </row>
    <row r="93" spans="1:13" x14ac:dyDescent="0.3">
      <c r="A93" t="s">
        <v>122</v>
      </c>
      <c r="B93" t="s">
        <v>182</v>
      </c>
      <c r="C93" t="s">
        <v>142</v>
      </c>
      <c r="D93">
        <v>16.232297897338867</v>
      </c>
      <c r="E93" t="s">
        <v>38</v>
      </c>
      <c r="F93">
        <f t="shared" si="8"/>
        <v>7.9210369131967857</v>
      </c>
      <c r="G93">
        <f t="shared" si="9"/>
        <v>83375204.701086432</v>
      </c>
      <c r="H93" s="3">
        <f t="shared" si="10"/>
        <v>16675040.940217286</v>
      </c>
      <c r="K93">
        <f t="shared" si="11"/>
        <v>7.799713499233996</v>
      </c>
      <c r="L93">
        <f t="shared" si="12"/>
        <v>63054124.398403317</v>
      </c>
      <c r="M93" s="3">
        <f t="shared" si="13"/>
        <v>12610824.879680663</v>
      </c>
    </row>
    <row r="94" spans="1:13" x14ac:dyDescent="0.3">
      <c r="A94" t="s">
        <v>123</v>
      </c>
      <c r="B94" t="s">
        <v>38</v>
      </c>
      <c r="C94" t="s">
        <v>38</v>
      </c>
      <c r="D94" t="s">
        <v>38</v>
      </c>
      <c r="E94" t="s">
        <v>38</v>
      </c>
      <c r="F94" t="e">
        <f t="shared" si="8"/>
        <v>#VALUE!</v>
      </c>
      <c r="G94" t="e">
        <f t="shared" si="9"/>
        <v>#VALUE!</v>
      </c>
      <c r="H94" s="3" t="e">
        <f t="shared" si="10"/>
        <v>#VALUE!</v>
      </c>
      <c r="K94" t="e">
        <f t="shared" si="11"/>
        <v>#VALUE!</v>
      </c>
      <c r="L94" t="e">
        <f t="shared" si="12"/>
        <v>#VALUE!</v>
      </c>
      <c r="M94" s="3" t="e">
        <f t="shared" si="13"/>
        <v>#VALUE!</v>
      </c>
    </row>
    <row r="95" spans="1:13" x14ac:dyDescent="0.3">
      <c r="A95" s="1" t="s">
        <v>124</v>
      </c>
      <c r="B95" s="1" t="s">
        <v>108</v>
      </c>
      <c r="C95" s="1">
        <v>34.692928314208984</v>
      </c>
      <c r="D95" s="1">
        <v>34.584911346435547</v>
      </c>
      <c r="E95" s="1">
        <v>1.1491255760192871</v>
      </c>
      <c r="F95" s="1">
        <f t="shared" si="8"/>
        <v>2.9834239967619394</v>
      </c>
      <c r="G95" s="1">
        <f t="shared" si="9"/>
        <v>962.55154793577196</v>
      </c>
      <c r="H95" s="2">
        <f t="shared" si="10"/>
        <v>192.51030958715438</v>
      </c>
      <c r="K95">
        <f t="shared" si="11"/>
        <v>3.0962066310167997</v>
      </c>
      <c r="L95">
        <f t="shared" si="12"/>
        <v>1247.9771424393994</v>
      </c>
      <c r="M95" s="3">
        <f t="shared" si="13"/>
        <v>249.59542848787987</v>
      </c>
    </row>
    <row r="96" spans="1:13" x14ac:dyDescent="0.3">
      <c r="A96" s="1" t="s">
        <v>126</v>
      </c>
      <c r="B96" s="1" t="s">
        <v>108</v>
      </c>
      <c r="C96" s="1">
        <v>33.385585784912109</v>
      </c>
      <c r="D96" s="1">
        <v>34.584911346435547</v>
      </c>
      <c r="E96" s="1">
        <v>1.1491255760192871</v>
      </c>
      <c r="F96" s="1">
        <f t="shared" si="8"/>
        <v>2.9834239967619394</v>
      </c>
      <c r="G96" s="1">
        <f t="shared" si="9"/>
        <v>962.55154793577196</v>
      </c>
      <c r="H96" s="2">
        <f t="shared" si="10"/>
        <v>192.51030958715438</v>
      </c>
      <c r="K96">
        <f t="shared" si="11"/>
        <v>3.0962066310167997</v>
      </c>
      <c r="L96">
        <f t="shared" si="12"/>
        <v>1247.9771424393994</v>
      </c>
      <c r="M96" s="3">
        <f t="shared" si="13"/>
        <v>249.59542848787987</v>
      </c>
    </row>
    <row r="97" spans="1:13" x14ac:dyDescent="0.3">
      <c r="A97" s="1" t="s">
        <v>127</v>
      </c>
      <c r="B97" s="1" t="s">
        <v>108</v>
      </c>
      <c r="C97" s="1">
        <v>35.67620849609375</v>
      </c>
      <c r="D97" s="1">
        <v>34.584911346435547</v>
      </c>
      <c r="E97" s="1">
        <v>1.1491255760192871</v>
      </c>
      <c r="F97" s="1">
        <f t="shared" si="8"/>
        <v>2.9834239967619394</v>
      </c>
      <c r="G97" s="1">
        <f t="shared" si="9"/>
        <v>962.55154793577196</v>
      </c>
      <c r="H97" s="2">
        <f t="shared" si="10"/>
        <v>192.51030958715438</v>
      </c>
      <c r="K97">
        <f t="shared" si="11"/>
        <v>3.0962066310167997</v>
      </c>
      <c r="L97">
        <f t="shared" si="12"/>
        <v>1247.9771424393994</v>
      </c>
      <c r="M97" s="3">
        <f t="shared" si="13"/>
        <v>249.59542848787987</v>
      </c>
    </row>
    <row r="98" spans="1:13" x14ac:dyDescent="0.3">
      <c r="A98" t="s">
        <v>128</v>
      </c>
      <c r="B98" t="s">
        <v>183</v>
      </c>
      <c r="C98">
        <v>13.897080421447754</v>
      </c>
      <c r="D98">
        <v>13.868387222290039</v>
      </c>
      <c r="E98">
        <v>4.0578313171863556E-2</v>
      </c>
      <c r="F98">
        <f t="shared" si="8"/>
        <v>8.5570267636229005</v>
      </c>
      <c r="G98">
        <f t="shared" si="9"/>
        <v>360600864.55240482</v>
      </c>
      <c r="H98" s="3">
        <f t="shared" si="10"/>
        <v>72120172.910480961</v>
      </c>
      <c r="K98">
        <f t="shared" si="11"/>
        <v>8.4055492907839664</v>
      </c>
      <c r="L98">
        <f t="shared" si="12"/>
        <v>254418853.25366342</v>
      </c>
      <c r="M98" s="3">
        <f t="shared" si="13"/>
        <v>50883770.650732681</v>
      </c>
    </row>
    <row r="99" spans="1:13" x14ac:dyDescent="0.3">
      <c r="A99" t="s">
        <v>130</v>
      </c>
      <c r="B99" t="s">
        <v>183</v>
      </c>
      <c r="C99">
        <v>13.839694023132324</v>
      </c>
      <c r="D99">
        <v>13.868387222290039</v>
      </c>
      <c r="E99">
        <v>4.0578313171863556E-2</v>
      </c>
      <c r="F99">
        <f t="shared" si="8"/>
        <v>8.5570267636229005</v>
      </c>
      <c r="G99">
        <f t="shared" si="9"/>
        <v>360600864.55240482</v>
      </c>
      <c r="H99" s="3">
        <f t="shared" si="10"/>
        <v>72120172.910480961</v>
      </c>
      <c r="K99">
        <f t="shared" si="11"/>
        <v>8.4055492907839664</v>
      </c>
      <c r="L99">
        <f t="shared" si="12"/>
        <v>254418853.25366342</v>
      </c>
      <c r="M99" s="3">
        <f t="shared" si="13"/>
        <v>50883770.650732681</v>
      </c>
    </row>
    <row r="100" spans="1:13" x14ac:dyDescent="0.3">
      <c r="A100" t="s">
        <v>131</v>
      </c>
      <c r="B100" t="s">
        <v>184</v>
      </c>
      <c r="C100">
        <v>14.009871482849121</v>
      </c>
      <c r="D100">
        <v>14.067731857299805</v>
      </c>
      <c r="E100">
        <v>8.1826925277709961E-2</v>
      </c>
      <c r="F100">
        <f t="shared" si="8"/>
        <v>8.5033948028465112</v>
      </c>
      <c r="G100">
        <f t="shared" si="9"/>
        <v>318709348.72033215</v>
      </c>
      <c r="H100" s="3">
        <f t="shared" si="10"/>
        <v>63741869.744066432</v>
      </c>
      <c r="K100">
        <f t="shared" si="11"/>
        <v>8.3544601713780953</v>
      </c>
      <c r="L100">
        <f t="shared" si="12"/>
        <v>226183110.04619303</v>
      </c>
      <c r="M100" s="3">
        <f t="shared" si="13"/>
        <v>45236622.009238608</v>
      </c>
    </row>
    <row r="101" spans="1:13" x14ac:dyDescent="0.3">
      <c r="A101" t="s">
        <v>133</v>
      </c>
      <c r="B101" t="s">
        <v>184</v>
      </c>
      <c r="C101">
        <v>14.125592231750488</v>
      </c>
      <c r="D101">
        <v>14.067731857299805</v>
      </c>
      <c r="E101">
        <v>8.1826925277709961E-2</v>
      </c>
      <c r="F101">
        <f t="shared" si="8"/>
        <v>8.5033948028465112</v>
      </c>
      <c r="G101">
        <f t="shared" si="9"/>
        <v>318709348.72033215</v>
      </c>
      <c r="H101" s="3">
        <f t="shared" si="10"/>
        <v>63741869.744066432</v>
      </c>
      <c r="K101">
        <f t="shared" si="11"/>
        <v>8.3544601713780953</v>
      </c>
      <c r="L101">
        <f t="shared" si="12"/>
        <v>226183110.04619303</v>
      </c>
      <c r="M101" s="3">
        <f t="shared" si="13"/>
        <v>45236622.009238608</v>
      </c>
    </row>
    <row r="102" spans="1:13" x14ac:dyDescent="0.3">
      <c r="A102" t="s">
        <v>134</v>
      </c>
      <c r="B102" t="s">
        <v>185</v>
      </c>
      <c r="C102">
        <v>19.567312240600586</v>
      </c>
      <c r="D102">
        <v>19.529899597167969</v>
      </c>
      <c r="E102">
        <v>5.2908118814229965E-2</v>
      </c>
      <c r="F102">
        <f t="shared" si="8"/>
        <v>7.0338455171869114</v>
      </c>
      <c r="G102">
        <f t="shared" si="9"/>
        <v>10810493.430275586</v>
      </c>
      <c r="H102" s="3">
        <f t="shared" si="10"/>
        <v>2162098.6860551173</v>
      </c>
      <c r="K102">
        <f t="shared" si="11"/>
        <v>6.9545863304626021</v>
      </c>
      <c r="L102">
        <f t="shared" si="12"/>
        <v>9007127.9155974258</v>
      </c>
      <c r="M102" s="3">
        <f t="shared" si="13"/>
        <v>1801425.5831194851</v>
      </c>
    </row>
    <row r="103" spans="1:13" x14ac:dyDescent="0.3">
      <c r="A103" t="s">
        <v>136</v>
      </c>
      <c r="B103" t="s">
        <v>185</v>
      </c>
      <c r="C103">
        <v>19.492488861083984</v>
      </c>
      <c r="D103">
        <v>19.529899597167969</v>
      </c>
      <c r="E103">
        <v>5.2908118814229965E-2</v>
      </c>
      <c r="F103">
        <f t="shared" si="8"/>
        <v>7.0338455171869114</v>
      </c>
      <c r="G103">
        <f t="shared" si="9"/>
        <v>10810493.430275586</v>
      </c>
      <c r="H103" s="3">
        <f t="shared" si="10"/>
        <v>2162098.6860551173</v>
      </c>
      <c r="K103">
        <f t="shared" si="11"/>
        <v>6.9545863304626021</v>
      </c>
      <c r="L103">
        <f t="shared" si="12"/>
        <v>9007127.9155974258</v>
      </c>
      <c r="M103" s="3">
        <f t="shared" si="13"/>
        <v>1801425.5831194851</v>
      </c>
    </row>
    <row r="104" spans="1:13" x14ac:dyDescent="0.3">
      <c r="A104" t="s">
        <v>137</v>
      </c>
      <c r="B104" t="s">
        <v>186</v>
      </c>
      <c r="C104">
        <v>15.435817718505859</v>
      </c>
      <c r="D104">
        <v>15.435817718505859</v>
      </c>
      <c r="E104" t="s">
        <v>38</v>
      </c>
      <c r="F104">
        <f t="shared" si="8"/>
        <v>8.1353230599408484</v>
      </c>
      <c r="G104">
        <f t="shared" si="9"/>
        <v>136559859.0783523</v>
      </c>
      <c r="H104" s="3">
        <f t="shared" si="10"/>
        <v>27311971.81567046</v>
      </c>
      <c r="K104">
        <f t="shared" si="11"/>
        <v>8.0038397399969607</v>
      </c>
      <c r="L104">
        <f t="shared" si="12"/>
        <v>100888052.80605349</v>
      </c>
      <c r="M104" s="3">
        <f t="shared" si="13"/>
        <v>20177610.561210699</v>
      </c>
    </row>
    <row r="105" spans="1:13" x14ac:dyDescent="0.3">
      <c r="A105" t="s">
        <v>139</v>
      </c>
      <c r="B105" t="s">
        <v>186</v>
      </c>
      <c r="C105" t="s">
        <v>142</v>
      </c>
      <c r="D105">
        <v>15.435817718505859</v>
      </c>
      <c r="E105" t="s">
        <v>38</v>
      </c>
      <c r="F105">
        <f t="shared" si="8"/>
        <v>8.1353230599408484</v>
      </c>
      <c r="G105">
        <f t="shared" si="9"/>
        <v>136559859.0783523</v>
      </c>
      <c r="H105" s="3">
        <f t="shared" si="10"/>
        <v>27311971.81567046</v>
      </c>
      <c r="K105">
        <f t="shared" si="11"/>
        <v>8.0038397399969607</v>
      </c>
      <c r="L105">
        <f t="shared" si="12"/>
        <v>100888052.80605349</v>
      </c>
      <c r="M105" s="3">
        <f t="shared" si="13"/>
        <v>20177610.561210699</v>
      </c>
    </row>
    <row r="106" spans="1:13" x14ac:dyDescent="0.3">
      <c r="A106" t="s">
        <v>140</v>
      </c>
      <c r="B106" t="s">
        <v>38</v>
      </c>
      <c r="C106" t="s">
        <v>38</v>
      </c>
      <c r="D106" t="s">
        <v>38</v>
      </c>
      <c r="E106" t="s">
        <v>38</v>
      </c>
      <c r="F106" t="e">
        <f t="shared" si="8"/>
        <v>#VALUE!</v>
      </c>
      <c r="G106" t="e">
        <f t="shared" si="9"/>
        <v>#VALUE!</v>
      </c>
      <c r="H106" s="3" t="e">
        <f t="shared" si="10"/>
        <v>#VALUE!</v>
      </c>
      <c r="K106" t="e">
        <f t="shared" si="11"/>
        <v>#VALUE!</v>
      </c>
      <c r="L106" t="e">
        <f t="shared" si="12"/>
        <v>#VALUE!</v>
      </c>
      <c r="M106" s="3" t="e">
        <f t="shared" si="13"/>
        <v>#VALUE!</v>
      </c>
    </row>
    <row r="107" spans="1:13" x14ac:dyDescent="0.3">
      <c r="A107" s="6" t="s">
        <v>141</v>
      </c>
      <c r="B107" s="6" t="s">
        <v>38</v>
      </c>
      <c r="C107" s="6" t="s">
        <v>142</v>
      </c>
      <c r="D107" s="6" t="s">
        <v>38</v>
      </c>
      <c r="E107" s="6" t="s">
        <v>38</v>
      </c>
      <c r="F107" s="6" t="e">
        <f t="shared" si="8"/>
        <v>#VALUE!</v>
      </c>
      <c r="G107" s="6" t="e">
        <f t="shared" si="9"/>
        <v>#VALUE!</v>
      </c>
      <c r="H107" s="7" t="e">
        <f t="shared" si="10"/>
        <v>#VALUE!</v>
      </c>
      <c r="K107" t="e">
        <f t="shared" si="11"/>
        <v>#VALUE!</v>
      </c>
      <c r="L107" t="e">
        <f t="shared" si="12"/>
        <v>#VALUE!</v>
      </c>
      <c r="M107" s="3" t="e">
        <f t="shared" si="13"/>
        <v>#VALUE!</v>
      </c>
    </row>
    <row r="108" spans="1:13" x14ac:dyDescent="0.3">
      <c r="A108" s="6" t="s">
        <v>143</v>
      </c>
      <c r="B108" s="6" t="s">
        <v>38</v>
      </c>
      <c r="C108" s="6">
        <v>36.448127746582031</v>
      </c>
      <c r="D108" s="6" t="s">
        <v>38</v>
      </c>
      <c r="E108" s="6" t="s">
        <v>38</v>
      </c>
      <c r="F108" s="6" t="e">
        <f t="shared" si="8"/>
        <v>#VALUE!</v>
      </c>
      <c r="G108" s="6" t="e">
        <f t="shared" si="9"/>
        <v>#VALUE!</v>
      </c>
      <c r="H108" s="7" t="e">
        <f t="shared" si="10"/>
        <v>#VALUE!</v>
      </c>
      <c r="K108" t="e">
        <f t="shared" si="11"/>
        <v>#VALUE!</v>
      </c>
      <c r="L108" t="e">
        <f t="shared" si="12"/>
        <v>#VALUE!</v>
      </c>
      <c r="M108" s="3" t="e">
        <f t="shared" si="13"/>
        <v>#VALUE!</v>
      </c>
    </row>
    <row r="109" spans="1:13" x14ac:dyDescent="0.3">
      <c r="A109" s="6" t="s">
        <v>144</v>
      </c>
      <c r="B109" s="6" t="s">
        <v>38</v>
      </c>
      <c r="C109" s="6" t="s">
        <v>142</v>
      </c>
      <c r="D109" s="6" t="s">
        <v>38</v>
      </c>
      <c r="E109" s="6" t="s">
        <v>38</v>
      </c>
      <c r="F109" s="6" t="e">
        <f t="shared" si="8"/>
        <v>#VALUE!</v>
      </c>
      <c r="G109" s="6" t="e">
        <f t="shared" si="9"/>
        <v>#VALUE!</v>
      </c>
      <c r="H109" s="7" t="e">
        <f t="shared" si="10"/>
        <v>#VALUE!</v>
      </c>
      <c r="K109" t="e">
        <f t="shared" si="11"/>
        <v>#VALUE!</v>
      </c>
      <c r="L109" t="e">
        <f t="shared" si="12"/>
        <v>#VALUE!</v>
      </c>
      <c r="M109" s="3" t="e">
        <f t="shared" si="13"/>
        <v>#VALUE!</v>
      </c>
    </row>
    <row r="110" spans="1:13" x14ac:dyDescent="0.3">
      <c r="A110" t="s">
        <v>145</v>
      </c>
      <c r="B110" t="s">
        <v>187</v>
      </c>
      <c r="C110">
        <v>16.798702239990234</v>
      </c>
      <c r="D110">
        <v>16.804718017578125</v>
      </c>
      <c r="E110">
        <v>8.5089430212974548E-3</v>
      </c>
      <c r="F110">
        <f t="shared" si="8"/>
        <v>7.7670321995269918</v>
      </c>
      <c r="G110">
        <f t="shared" si="9"/>
        <v>58483344.334646888</v>
      </c>
      <c r="H110" s="3">
        <f t="shared" si="10"/>
        <v>11696668.866929378</v>
      </c>
      <c r="K110">
        <f t="shared" si="11"/>
        <v>7.653010580081979</v>
      </c>
      <c r="L110">
        <f t="shared" si="12"/>
        <v>44979081.23562555</v>
      </c>
      <c r="M110" s="3">
        <f t="shared" si="13"/>
        <v>8995816.2471251097</v>
      </c>
    </row>
    <row r="111" spans="1:13" x14ac:dyDescent="0.3">
      <c r="A111" t="s">
        <v>147</v>
      </c>
      <c r="B111" t="s">
        <v>187</v>
      </c>
      <c r="C111">
        <v>16.810735702514648</v>
      </c>
      <c r="D111">
        <v>16.804718017578125</v>
      </c>
      <c r="E111">
        <v>8.5089430212974548E-3</v>
      </c>
      <c r="F111">
        <f t="shared" si="8"/>
        <v>7.7670321995269918</v>
      </c>
      <c r="G111">
        <f t="shared" si="9"/>
        <v>58483344.334646888</v>
      </c>
      <c r="H111" s="3">
        <f t="shared" si="10"/>
        <v>11696668.866929378</v>
      </c>
      <c r="K111">
        <f t="shared" si="11"/>
        <v>7.653010580081979</v>
      </c>
      <c r="L111">
        <f t="shared" si="12"/>
        <v>44979081.23562555</v>
      </c>
      <c r="M111" s="3">
        <f t="shared" si="13"/>
        <v>8995816.2471251097</v>
      </c>
    </row>
    <row r="112" spans="1:13" x14ac:dyDescent="0.3">
      <c r="A112" t="s">
        <v>148</v>
      </c>
      <c r="B112" t="s">
        <v>188</v>
      </c>
      <c r="C112">
        <v>12.94059944152832</v>
      </c>
      <c r="D112">
        <v>12.951827049255371</v>
      </c>
      <c r="E112">
        <v>1.5878235921263695E-2</v>
      </c>
      <c r="F112">
        <f t="shared" si="8"/>
        <v>8.8036194007760855</v>
      </c>
      <c r="G112">
        <f t="shared" si="9"/>
        <v>636237701.90974593</v>
      </c>
      <c r="H112" s="3">
        <f t="shared" si="10"/>
        <v>127247540.38194919</v>
      </c>
      <c r="K112">
        <f t="shared" si="11"/>
        <v>8.6404502808233499</v>
      </c>
      <c r="L112">
        <f t="shared" si="12"/>
        <v>436968650.88442743</v>
      </c>
      <c r="M112" s="3">
        <f t="shared" si="13"/>
        <v>87393730.176885486</v>
      </c>
    </row>
    <row r="113" spans="1:13" x14ac:dyDescent="0.3">
      <c r="A113" t="s">
        <v>150</v>
      </c>
      <c r="B113" t="s">
        <v>188</v>
      </c>
      <c r="C113">
        <v>12.963054656982422</v>
      </c>
      <c r="D113">
        <v>12.951827049255371</v>
      </c>
      <c r="E113">
        <v>1.5878235921263695E-2</v>
      </c>
      <c r="F113">
        <f t="shared" si="8"/>
        <v>8.8036194007760855</v>
      </c>
      <c r="G113">
        <f t="shared" si="9"/>
        <v>636237701.90974593</v>
      </c>
      <c r="H113" s="3">
        <f t="shared" si="10"/>
        <v>127247540.38194919</v>
      </c>
      <c r="K113">
        <f t="shared" si="11"/>
        <v>8.6404502808233499</v>
      </c>
      <c r="L113">
        <f t="shared" si="12"/>
        <v>436968650.88442743</v>
      </c>
      <c r="M113" s="3">
        <f t="shared" si="13"/>
        <v>87393730.176885486</v>
      </c>
    </row>
    <row r="114" spans="1:13" x14ac:dyDescent="0.3">
      <c r="A114" t="s">
        <v>151</v>
      </c>
      <c r="B114" t="s">
        <v>189</v>
      </c>
      <c r="C114">
        <v>13.76613712310791</v>
      </c>
      <c r="D114">
        <v>13.749032020568848</v>
      </c>
      <c r="E114">
        <v>2.419026754796505E-2</v>
      </c>
      <c r="F114">
        <f t="shared" si="8"/>
        <v>8.5891382548444</v>
      </c>
      <c r="G114">
        <f t="shared" si="9"/>
        <v>388273950.82383972</v>
      </c>
      <c r="H114" s="3">
        <f t="shared" si="10"/>
        <v>77654790.164767951</v>
      </c>
      <c r="K114">
        <f t="shared" si="11"/>
        <v>8.4361382863300314</v>
      </c>
      <c r="L114">
        <f t="shared" si="12"/>
        <v>272984687.14711559</v>
      </c>
      <c r="M114" s="3">
        <f t="shared" si="13"/>
        <v>54596937.429423116</v>
      </c>
    </row>
    <row r="115" spans="1:13" x14ac:dyDescent="0.3">
      <c r="A115" t="s">
        <v>153</v>
      </c>
      <c r="B115" t="s">
        <v>189</v>
      </c>
      <c r="C115">
        <v>13.731926918029785</v>
      </c>
      <c r="D115">
        <v>13.749032020568848</v>
      </c>
      <c r="E115">
        <v>2.419026754796505E-2</v>
      </c>
      <c r="F115">
        <f t="shared" si="8"/>
        <v>8.5891382548444</v>
      </c>
      <c r="G115">
        <f t="shared" si="9"/>
        <v>388273950.82383972</v>
      </c>
      <c r="H115" s="3">
        <f t="shared" si="10"/>
        <v>77654790.164767951</v>
      </c>
      <c r="K115">
        <f t="shared" si="11"/>
        <v>8.4361382863300314</v>
      </c>
      <c r="L115">
        <f t="shared" si="12"/>
        <v>272984687.14711559</v>
      </c>
      <c r="M115" s="3">
        <f t="shared" si="13"/>
        <v>54596937.429423116</v>
      </c>
    </row>
    <row r="116" spans="1:13" x14ac:dyDescent="0.3">
      <c r="A116" t="s">
        <v>154</v>
      </c>
      <c r="B116" t="s">
        <v>190</v>
      </c>
      <c r="C116">
        <v>13.673379898071289</v>
      </c>
      <c r="D116">
        <v>13.673379898071289</v>
      </c>
      <c r="E116" t="s">
        <v>38</v>
      </c>
      <c r="F116">
        <f t="shared" si="8"/>
        <v>8.6094918082081069</v>
      </c>
      <c r="G116">
        <f t="shared" si="9"/>
        <v>406903858.59501505</v>
      </c>
      <c r="H116" s="3">
        <f t="shared" si="10"/>
        <v>81380771.719003007</v>
      </c>
      <c r="K116">
        <f t="shared" si="11"/>
        <v>8.4555268207613494</v>
      </c>
      <c r="L116">
        <f t="shared" si="12"/>
        <v>285447879.2633487</v>
      </c>
      <c r="M116" s="3">
        <f t="shared" si="13"/>
        <v>57089575.852669738</v>
      </c>
    </row>
    <row r="117" spans="1:13" x14ac:dyDescent="0.3">
      <c r="A117" t="s">
        <v>156</v>
      </c>
      <c r="B117" t="s">
        <v>190</v>
      </c>
      <c r="C117" t="s">
        <v>142</v>
      </c>
      <c r="D117">
        <v>13.673379898071289</v>
      </c>
      <c r="E117" t="s">
        <v>38</v>
      </c>
      <c r="F117">
        <f t="shared" si="8"/>
        <v>8.6094918082081069</v>
      </c>
      <c r="G117">
        <f t="shared" si="9"/>
        <v>406903858.59501505</v>
      </c>
      <c r="H117" s="3">
        <f t="shared" si="10"/>
        <v>81380771.719003007</v>
      </c>
      <c r="K117">
        <f t="shared" si="11"/>
        <v>8.4555268207613494</v>
      </c>
      <c r="L117">
        <f t="shared" si="12"/>
        <v>285447879.2633487</v>
      </c>
      <c r="M117" s="3">
        <f t="shared" si="13"/>
        <v>57089575.852669738</v>
      </c>
    </row>
    <row r="118" spans="1:13" x14ac:dyDescent="0.3">
      <c r="A118" t="s">
        <v>157</v>
      </c>
      <c r="B118" t="s">
        <v>38</v>
      </c>
      <c r="C118" t="s">
        <v>38</v>
      </c>
      <c r="D118" t="s">
        <v>38</v>
      </c>
      <c r="E118" t="s">
        <v>38</v>
      </c>
      <c r="F118" t="e">
        <f t="shared" si="8"/>
        <v>#VALUE!</v>
      </c>
      <c r="G118" t="e">
        <f t="shared" si="9"/>
        <v>#VALUE!</v>
      </c>
      <c r="H118" s="3" t="e">
        <f t="shared" si="10"/>
        <v>#VALUE!</v>
      </c>
      <c r="K118" t="e">
        <f t="shared" si="11"/>
        <v>#VALUE!</v>
      </c>
      <c r="L118" t="e">
        <f t="shared" si="12"/>
        <v>#VALUE!</v>
      </c>
      <c r="M118" s="3" t="e">
        <f t="shared" si="13"/>
        <v>#VALUE!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E69EC-A98E-481B-9C14-BCC3FC567C40}">
  <dimension ref="A1:I116"/>
  <sheetViews>
    <sheetView workbookViewId="0">
      <selection activeCell="E16" sqref="E16"/>
    </sheetView>
  </sheetViews>
  <sheetFormatPr defaultColWidth="11.5546875" defaultRowHeight="14.4" x14ac:dyDescent="0.3"/>
  <cols>
    <col min="7" max="7" width="11.109375" bestFit="1" customWidth="1"/>
    <col min="9" max="9" width="12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1000</v>
      </c>
      <c r="B2">
        <v>5000</v>
      </c>
      <c r="C2">
        <f>B2*(0.000000000001)*(1/$B$12)*6.022E+23</f>
        <v>1061482055.9825144</v>
      </c>
      <c r="D2">
        <f>LOG10(C2)</f>
        <v>9.025912656953599</v>
      </c>
      <c r="E2" s="1">
        <v>15.195370674133301</v>
      </c>
      <c r="F2">
        <v>9.4728507841964031</v>
      </c>
    </row>
    <row r="3" spans="1:6" x14ac:dyDescent="0.3">
      <c r="A3">
        <v>100</v>
      </c>
      <c r="B3">
        <v>500</v>
      </c>
      <c r="C3">
        <f t="shared" ref="C3:C8" si="0">B3*(0.000000000001)*(1/$B$12)*6.022E+23</f>
        <v>106148205.59825145</v>
      </c>
      <c r="D3">
        <f t="shared" ref="D3:D8" si="1">LOG10(C3)</f>
        <v>8.025912656953599</v>
      </c>
      <c r="E3" s="1">
        <v>20.243108749389648</v>
      </c>
      <c r="F3">
        <v>8.0206821779661528</v>
      </c>
    </row>
    <row r="4" spans="1:6" x14ac:dyDescent="0.3">
      <c r="A4">
        <v>10</v>
      </c>
      <c r="B4">
        <v>50</v>
      </c>
      <c r="C4">
        <f t="shared" si="0"/>
        <v>10614820.559825143</v>
      </c>
      <c r="D4">
        <f t="shared" si="1"/>
        <v>7.0259126569535999</v>
      </c>
      <c r="E4" s="1">
        <v>23.702169418334961</v>
      </c>
      <c r="F4">
        <v>7.025555403240805</v>
      </c>
    </row>
    <row r="5" spans="1:6" x14ac:dyDescent="0.3">
      <c r="A5">
        <v>1</v>
      </c>
      <c r="B5">
        <v>5</v>
      </c>
      <c r="C5">
        <f t="shared" si="0"/>
        <v>1061482.0559825143</v>
      </c>
      <c r="D5">
        <f t="shared" si="1"/>
        <v>6.0259126569535999</v>
      </c>
      <c r="E5" s="1">
        <v>27.118562698364258</v>
      </c>
      <c r="F5">
        <v>6.0427034814832394</v>
      </c>
    </row>
    <row r="6" spans="1:6" x14ac:dyDescent="0.3">
      <c r="A6">
        <v>0.1</v>
      </c>
      <c r="B6">
        <v>0.5</v>
      </c>
      <c r="C6">
        <f t="shared" si="0"/>
        <v>106148.20559825143</v>
      </c>
      <c r="D6">
        <f t="shared" si="1"/>
        <v>5.0259126569535999</v>
      </c>
      <c r="E6" s="1">
        <v>30.692253112792969</v>
      </c>
      <c r="F6">
        <v>5.0145992195647375</v>
      </c>
    </row>
    <row r="7" spans="1:6" x14ac:dyDescent="0.3">
      <c r="A7">
        <v>0.01</v>
      </c>
      <c r="B7">
        <v>0.05</v>
      </c>
      <c r="C7">
        <f t="shared" si="0"/>
        <v>10614.820559825144</v>
      </c>
      <c r="D7">
        <f t="shared" si="1"/>
        <v>4.0259126569535999</v>
      </c>
      <c r="E7" s="1">
        <v>34.127887725830078</v>
      </c>
      <c r="F7">
        <v>4.0262118165045795</v>
      </c>
    </row>
    <row r="8" spans="1:6" x14ac:dyDescent="0.3">
      <c r="A8">
        <v>1E-3</v>
      </c>
      <c r="B8">
        <v>5.0000000000000001E-3</v>
      </c>
      <c r="C8">
        <f t="shared" si="0"/>
        <v>1061.4820559825143</v>
      </c>
      <c r="D8">
        <f t="shared" si="1"/>
        <v>3.0259126569535995</v>
      </c>
      <c r="E8" s="1">
        <v>37.176860809326172</v>
      </c>
      <c r="F8">
        <v>3.1490619075586381</v>
      </c>
    </row>
    <row r="10" spans="1:6" x14ac:dyDescent="0.3">
      <c r="A10" t="s">
        <v>6</v>
      </c>
      <c r="B10">
        <v>4364</v>
      </c>
    </row>
    <row r="11" spans="1:6" x14ac:dyDescent="0.3">
      <c r="A11" t="s">
        <v>7</v>
      </c>
      <c r="B11">
        <v>650</v>
      </c>
    </row>
    <row r="12" spans="1:6" x14ac:dyDescent="0.3">
      <c r="A12" t="s">
        <v>8</v>
      </c>
      <c r="B12">
        <v>2836600</v>
      </c>
    </row>
    <row r="14" spans="1:6" x14ac:dyDescent="0.3">
      <c r="A14" t="s">
        <v>9</v>
      </c>
      <c r="B14">
        <v>1027</v>
      </c>
    </row>
    <row r="15" spans="1:6" x14ac:dyDescent="0.3">
      <c r="A15" t="s">
        <v>10</v>
      </c>
      <c r="B15">
        <v>3337</v>
      </c>
    </row>
    <row r="20" spans="1:9" x14ac:dyDescent="0.3">
      <c r="A20" t="s">
        <v>11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191</v>
      </c>
      <c r="I20" t="s">
        <v>18</v>
      </c>
    </row>
    <row r="21" spans="1:9" x14ac:dyDescent="0.3">
      <c r="A21" s="1" t="s">
        <v>21</v>
      </c>
      <c r="B21" s="1" t="s">
        <v>158</v>
      </c>
      <c r="C21" s="1">
        <v>15.16973876953125</v>
      </c>
      <c r="D21" s="1">
        <v>15.195370674133301</v>
      </c>
      <c r="E21" s="1">
        <v>2.2915653884410858E-2</v>
      </c>
      <c r="F21">
        <f>(D21-48.123)/-3.476</f>
        <v>9.4728507841964031</v>
      </c>
      <c r="G21">
        <f>10^F21</f>
        <v>2970645195.9074192</v>
      </c>
      <c r="H21">
        <f>G21/5</f>
        <v>594129039.18148386</v>
      </c>
      <c r="I21" s="3">
        <v>594129039.18148386</v>
      </c>
    </row>
    <row r="22" spans="1:9" x14ac:dyDescent="0.3">
      <c r="A22" s="1" t="s">
        <v>23</v>
      </c>
      <c r="B22" s="1" t="s">
        <v>158</v>
      </c>
      <c r="C22" s="1">
        <v>15.21387767791748</v>
      </c>
      <c r="D22" s="1">
        <v>15.195370674133301</v>
      </c>
      <c r="E22" s="1">
        <v>2.2915653884410858E-2</v>
      </c>
      <c r="F22">
        <f t="shared" ref="F22:F85" si="2">(D22-48.123)/-3.476</f>
        <v>9.4728507841964031</v>
      </c>
      <c r="G22">
        <f t="shared" ref="G22:G85" si="3">10^F22</f>
        <v>2970645195.9074192</v>
      </c>
      <c r="H22">
        <f t="shared" ref="H22:H85" si="4">G22/5</f>
        <v>594129039.18148386</v>
      </c>
      <c r="I22" s="3">
        <v>594129039.18148386</v>
      </c>
    </row>
    <row r="23" spans="1:9" x14ac:dyDescent="0.3">
      <c r="A23" s="1" t="s">
        <v>24</v>
      </c>
      <c r="B23" s="1" t="s">
        <v>158</v>
      </c>
      <c r="C23" s="1">
        <v>15.202494621276855</v>
      </c>
      <c r="D23" s="1">
        <v>15.195370674133301</v>
      </c>
      <c r="E23" s="1">
        <v>2.2915653884410858E-2</v>
      </c>
      <c r="F23">
        <f t="shared" si="2"/>
        <v>9.4728507841964031</v>
      </c>
      <c r="G23">
        <f t="shared" si="3"/>
        <v>2970645195.9074192</v>
      </c>
      <c r="H23">
        <f t="shared" si="4"/>
        <v>594129039.18148386</v>
      </c>
      <c r="I23" s="3">
        <v>594129039.18148386</v>
      </c>
    </row>
    <row r="24" spans="1:9" x14ac:dyDescent="0.3">
      <c r="A24" t="s">
        <v>25</v>
      </c>
      <c r="B24" t="s">
        <v>192</v>
      </c>
      <c r="C24">
        <v>26.426580429077148</v>
      </c>
      <c r="D24">
        <v>26.4888916015625</v>
      </c>
      <c r="E24">
        <v>8.8121302425861359E-2</v>
      </c>
      <c r="F24">
        <f t="shared" si="2"/>
        <v>6.223851668135068</v>
      </c>
      <c r="G24">
        <f t="shared" si="3"/>
        <v>1674370.9024291777</v>
      </c>
      <c r="H24">
        <f t="shared" si="4"/>
        <v>334874.18048583553</v>
      </c>
      <c r="I24" s="3">
        <f t="shared" ref="I24:I87" si="5">H24*100</f>
        <v>33487418.048583552</v>
      </c>
    </row>
    <row r="25" spans="1:9" x14ac:dyDescent="0.3">
      <c r="A25" t="s">
        <v>27</v>
      </c>
      <c r="B25" t="s">
        <v>192</v>
      </c>
      <c r="C25">
        <v>26.551202774047852</v>
      </c>
      <c r="D25">
        <v>26.4888916015625</v>
      </c>
      <c r="E25">
        <v>8.8121302425861359E-2</v>
      </c>
      <c r="F25">
        <f t="shared" si="2"/>
        <v>6.223851668135068</v>
      </c>
      <c r="G25">
        <f t="shared" si="3"/>
        <v>1674370.9024291777</v>
      </c>
      <c r="H25">
        <f t="shared" si="4"/>
        <v>334874.18048583553</v>
      </c>
      <c r="I25" s="3">
        <f t="shared" si="5"/>
        <v>33487418.048583552</v>
      </c>
    </row>
    <row r="26" spans="1:9" x14ac:dyDescent="0.3">
      <c r="A26" t="s">
        <v>28</v>
      </c>
      <c r="B26" t="s">
        <v>193</v>
      </c>
      <c r="C26">
        <v>21.34825325012207</v>
      </c>
      <c r="D26">
        <v>21.349983215332031</v>
      </c>
      <c r="E26">
        <v>2.4465401656925678E-3</v>
      </c>
      <c r="F26">
        <f t="shared" si="2"/>
        <v>7.7022487873037875</v>
      </c>
      <c r="G26">
        <f t="shared" si="3"/>
        <v>50378912.372451387</v>
      </c>
      <c r="H26">
        <f t="shared" si="4"/>
        <v>10075782.474490277</v>
      </c>
      <c r="I26" s="3">
        <f t="shared" si="5"/>
        <v>1007578247.4490278</v>
      </c>
    </row>
    <row r="27" spans="1:9" x14ac:dyDescent="0.3">
      <c r="A27" t="s">
        <v>30</v>
      </c>
      <c r="B27" t="s">
        <v>193</v>
      </c>
      <c r="C27">
        <v>21.351713180541992</v>
      </c>
      <c r="D27">
        <v>21.349983215332031</v>
      </c>
      <c r="E27">
        <v>2.4465401656925678E-3</v>
      </c>
      <c r="F27">
        <f t="shared" si="2"/>
        <v>7.7022487873037875</v>
      </c>
      <c r="G27">
        <f t="shared" si="3"/>
        <v>50378912.372451387</v>
      </c>
      <c r="H27">
        <f t="shared" si="4"/>
        <v>10075782.474490277</v>
      </c>
      <c r="I27" s="3">
        <f t="shared" si="5"/>
        <v>1007578247.4490278</v>
      </c>
    </row>
    <row r="28" spans="1:9" x14ac:dyDescent="0.3">
      <c r="A28" t="s">
        <v>31</v>
      </c>
      <c r="B28" t="s">
        <v>194</v>
      </c>
      <c r="C28">
        <v>31.262533187866211</v>
      </c>
      <c r="D28">
        <v>31.332572937011719</v>
      </c>
      <c r="E28">
        <v>9.904981404542923E-2</v>
      </c>
      <c r="F28">
        <f t="shared" si="2"/>
        <v>4.8303875325052585</v>
      </c>
      <c r="G28">
        <f t="shared" si="3"/>
        <v>67668.653143871925</v>
      </c>
      <c r="H28">
        <f>G28/10</f>
        <v>6766.8653143871925</v>
      </c>
      <c r="I28" s="3">
        <f t="shared" si="5"/>
        <v>676686.53143871925</v>
      </c>
    </row>
    <row r="29" spans="1:9" x14ac:dyDescent="0.3">
      <c r="A29" t="s">
        <v>33</v>
      </c>
      <c r="B29" t="s">
        <v>194</v>
      </c>
      <c r="C29">
        <v>31.402610778808594</v>
      </c>
      <c r="D29">
        <v>31.332572937011719</v>
      </c>
      <c r="E29">
        <v>9.904981404542923E-2</v>
      </c>
      <c r="F29">
        <f t="shared" si="2"/>
        <v>4.8303875325052585</v>
      </c>
      <c r="G29">
        <f t="shared" si="3"/>
        <v>67668.653143871925</v>
      </c>
      <c r="H29">
        <f>G29/10</f>
        <v>6766.8653143871925</v>
      </c>
      <c r="I29" s="3">
        <f t="shared" si="5"/>
        <v>676686.53143871925</v>
      </c>
    </row>
    <row r="30" spans="1:9" x14ac:dyDescent="0.3">
      <c r="A30" t="s">
        <v>34</v>
      </c>
      <c r="B30" t="s">
        <v>195</v>
      </c>
      <c r="C30">
        <v>22.587074279785156</v>
      </c>
      <c r="D30">
        <v>22.60181999206543</v>
      </c>
      <c r="E30">
        <v>2.0853586494922638E-2</v>
      </c>
      <c r="F30">
        <f t="shared" si="2"/>
        <v>7.3421116248373322</v>
      </c>
      <c r="G30">
        <f t="shared" si="3"/>
        <v>21984248.518313024</v>
      </c>
      <c r="H30">
        <f t="shared" si="4"/>
        <v>4396849.703662605</v>
      </c>
      <c r="I30" s="3">
        <f t="shared" si="5"/>
        <v>439684970.36626053</v>
      </c>
    </row>
    <row r="31" spans="1:9" x14ac:dyDescent="0.3">
      <c r="A31" t="s">
        <v>36</v>
      </c>
      <c r="B31" t="s">
        <v>195</v>
      </c>
      <c r="C31">
        <v>22.616565704345703</v>
      </c>
      <c r="D31">
        <v>22.60181999206543</v>
      </c>
      <c r="E31">
        <v>2.0853586494922638E-2</v>
      </c>
      <c r="F31">
        <f t="shared" si="2"/>
        <v>7.3421116248373322</v>
      </c>
      <c r="G31">
        <f t="shared" si="3"/>
        <v>21984248.518313024</v>
      </c>
      <c r="H31">
        <f t="shared" si="4"/>
        <v>4396849.703662605</v>
      </c>
      <c r="I31" s="3">
        <f t="shared" si="5"/>
        <v>439684970.36626053</v>
      </c>
    </row>
    <row r="32" spans="1:9" x14ac:dyDescent="0.3">
      <c r="A32" t="s">
        <v>37</v>
      </c>
      <c r="B32" t="s">
        <v>38</v>
      </c>
      <c r="C32" t="s">
        <v>38</v>
      </c>
      <c r="D32" t="s">
        <v>38</v>
      </c>
      <c r="E32" t="s">
        <v>38</v>
      </c>
      <c r="F32" t="e">
        <f t="shared" si="2"/>
        <v>#VALUE!</v>
      </c>
      <c r="G32" t="e">
        <f t="shared" si="3"/>
        <v>#VALUE!</v>
      </c>
      <c r="H32" t="e">
        <f t="shared" si="4"/>
        <v>#VALUE!</v>
      </c>
      <c r="I32" s="3" t="e">
        <f t="shared" si="5"/>
        <v>#VALUE!</v>
      </c>
    </row>
    <row r="33" spans="1:9" x14ac:dyDescent="0.3">
      <c r="A33" s="1" t="s">
        <v>39</v>
      </c>
      <c r="B33" s="1" t="s">
        <v>22</v>
      </c>
      <c r="C33" s="1">
        <v>20.312162399291992</v>
      </c>
      <c r="D33" s="1">
        <v>20.243108749389648</v>
      </c>
      <c r="E33" s="1">
        <v>6.0639336705207825E-2</v>
      </c>
      <c r="F33">
        <f t="shared" si="2"/>
        <v>8.0206821779661528</v>
      </c>
      <c r="G33">
        <f t="shared" si="3"/>
        <v>104877464.15896897</v>
      </c>
      <c r="H33">
        <f t="shared" si="4"/>
        <v>20975492.831793793</v>
      </c>
      <c r="I33" s="3">
        <v>20975492.831793793</v>
      </c>
    </row>
    <row r="34" spans="1:9" x14ac:dyDescent="0.3">
      <c r="A34" s="1" t="s">
        <v>41</v>
      </c>
      <c r="B34" s="1" t="s">
        <v>22</v>
      </c>
      <c r="C34" s="1">
        <v>20.198545455932617</v>
      </c>
      <c r="D34" s="1">
        <v>20.243108749389648</v>
      </c>
      <c r="E34" s="1">
        <v>6.0639336705207825E-2</v>
      </c>
      <c r="F34">
        <f t="shared" si="2"/>
        <v>8.0206821779661528</v>
      </c>
      <c r="G34">
        <f t="shared" si="3"/>
        <v>104877464.15896897</v>
      </c>
      <c r="H34">
        <f t="shared" si="4"/>
        <v>20975492.831793793</v>
      </c>
      <c r="I34" s="3">
        <v>20975492.831793793</v>
      </c>
    </row>
    <row r="35" spans="1:9" x14ac:dyDescent="0.3">
      <c r="A35" s="1" t="s">
        <v>42</v>
      </c>
      <c r="B35" s="1" t="s">
        <v>22</v>
      </c>
      <c r="C35" s="1">
        <v>20.21861457824707</v>
      </c>
      <c r="D35" s="1">
        <v>20.243108749389648</v>
      </c>
      <c r="E35" s="1">
        <v>6.0639336705207825E-2</v>
      </c>
      <c r="F35">
        <f t="shared" si="2"/>
        <v>8.0206821779661528</v>
      </c>
      <c r="G35">
        <f t="shared" si="3"/>
        <v>104877464.15896897</v>
      </c>
      <c r="H35">
        <f t="shared" si="4"/>
        <v>20975492.831793793</v>
      </c>
      <c r="I35" s="3">
        <v>20975492.831793793</v>
      </c>
    </row>
    <row r="36" spans="1:9" x14ac:dyDescent="0.3">
      <c r="A36" t="s">
        <v>43</v>
      </c>
      <c r="B36" t="s">
        <v>196</v>
      </c>
      <c r="C36">
        <v>25.276218414306641</v>
      </c>
      <c r="D36">
        <v>25.309099197387695</v>
      </c>
      <c r="E36">
        <v>4.6500448137521744E-2</v>
      </c>
      <c r="F36">
        <f t="shared" si="2"/>
        <v>6.5632626014419744</v>
      </c>
      <c r="G36">
        <f t="shared" si="3"/>
        <v>3658159.197987732</v>
      </c>
      <c r="H36">
        <f t="shared" si="4"/>
        <v>731631.83959754638</v>
      </c>
      <c r="I36" s="3">
        <f t="shared" si="5"/>
        <v>73163183.959754631</v>
      </c>
    </row>
    <row r="37" spans="1:9" x14ac:dyDescent="0.3">
      <c r="A37" t="s">
        <v>45</v>
      </c>
      <c r="B37" t="s">
        <v>196</v>
      </c>
      <c r="C37">
        <v>25.34197998046875</v>
      </c>
      <c r="D37">
        <v>25.309099197387695</v>
      </c>
      <c r="E37">
        <v>4.6500448137521744E-2</v>
      </c>
      <c r="F37">
        <f t="shared" si="2"/>
        <v>6.5632626014419744</v>
      </c>
      <c r="G37">
        <f t="shared" si="3"/>
        <v>3658159.197987732</v>
      </c>
      <c r="H37">
        <f t="shared" si="4"/>
        <v>731631.83959754638</v>
      </c>
      <c r="I37" s="3">
        <f t="shared" si="5"/>
        <v>73163183.959754631</v>
      </c>
    </row>
    <row r="38" spans="1:9" x14ac:dyDescent="0.3">
      <c r="A38" t="s">
        <v>46</v>
      </c>
      <c r="B38" t="s">
        <v>197</v>
      </c>
      <c r="C38">
        <v>21.248483657836914</v>
      </c>
      <c r="D38">
        <v>21.24714469909668</v>
      </c>
      <c r="E38">
        <v>1.8935735570266843E-3</v>
      </c>
      <c r="F38">
        <f t="shared" si="2"/>
        <v>7.731834091168964</v>
      </c>
      <c r="G38">
        <f t="shared" si="3"/>
        <v>53930455.846082762</v>
      </c>
      <c r="H38">
        <f t="shared" si="4"/>
        <v>10786091.169216553</v>
      </c>
      <c r="I38" s="3">
        <f t="shared" si="5"/>
        <v>1078609116.9216552</v>
      </c>
    </row>
    <row r="39" spans="1:9" x14ac:dyDescent="0.3">
      <c r="A39" t="s">
        <v>48</v>
      </c>
      <c r="B39" t="s">
        <v>197</v>
      </c>
      <c r="C39">
        <v>21.245805740356445</v>
      </c>
      <c r="D39">
        <v>21.24714469909668</v>
      </c>
      <c r="E39">
        <v>1.8935735570266843E-3</v>
      </c>
      <c r="F39">
        <f t="shared" si="2"/>
        <v>7.731834091168964</v>
      </c>
      <c r="G39">
        <f t="shared" si="3"/>
        <v>53930455.846082762</v>
      </c>
      <c r="H39">
        <f t="shared" si="4"/>
        <v>10786091.169216553</v>
      </c>
      <c r="I39" s="3">
        <f t="shared" si="5"/>
        <v>1078609116.9216552</v>
      </c>
    </row>
    <row r="40" spans="1:9" x14ac:dyDescent="0.3">
      <c r="A40" t="s">
        <v>49</v>
      </c>
      <c r="B40" t="s">
        <v>198</v>
      </c>
      <c r="C40">
        <v>29.032243728637695</v>
      </c>
      <c r="D40">
        <v>29.063587188720703</v>
      </c>
      <c r="E40">
        <v>4.4324997812509537E-2</v>
      </c>
      <c r="F40">
        <f t="shared" si="2"/>
        <v>5.4831452276407635</v>
      </c>
      <c r="G40">
        <f t="shared" si="3"/>
        <v>304190.20646290772</v>
      </c>
      <c r="H40">
        <f>G40/10</f>
        <v>30419.020646290774</v>
      </c>
      <c r="I40" s="3">
        <f t="shared" si="5"/>
        <v>3041902.0646290774</v>
      </c>
    </row>
    <row r="41" spans="1:9" x14ac:dyDescent="0.3">
      <c r="A41" t="s">
        <v>51</v>
      </c>
      <c r="B41" t="s">
        <v>198</v>
      </c>
      <c r="C41">
        <v>29.094928741455078</v>
      </c>
      <c r="D41">
        <v>29.063587188720703</v>
      </c>
      <c r="E41">
        <v>4.4324997812509537E-2</v>
      </c>
      <c r="F41">
        <f t="shared" si="2"/>
        <v>5.4831452276407635</v>
      </c>
      <c r="G41">
        <f t="shared" si="3"/>
        <v>304190.20646290772</v>
      </c>
      <c r="H41">
        <f>G41/10</f>
        <v>30419.020646290774</v>
      </c>
      <c r="I41" s="3">
        <f t="shared" si="5"/>
        <v>3041902.0646290774</v>
      </c>
    </row>
    <row r="42" spans="1:9" x14ac:dyDescent="0.3">
      <c r="A42" t="s">
        <v>52</v>
      </c>
      <c r="B42" t="s">
        <v>199</v>
      </c>
      <c r="C42">
        <v>24.202968597412109</v>
      </c>
      <c r="D42">
        <v>24.198894500732422</v>
      </c>
      <c r="E42">
        <v>5.7629914954304695E-3</v>
      </c>
      <c r="F42">
        <f t="shared" si="2"/>
        <v>6.8826540561759426</v>
      </c>
      <c r="G42">
        <f t="shared" si="3"/>
        <v>7632275.8092491394</v>
      </c>
      <c r="H42">
        <f t="shared" si="4"/>
        <v>1526455.161849828</v>
      </c>
      <c r="I42" s="3">
        <f t="shared" si="5"/>
        <v>152645516.18498281</v>
      </c>
    </row>
    <row r="43" spans="1:9" x14ac:dyDescent="0.3">
      <c r="A43" t="s">
        <v>54</v>
      </c>
      <c r="B43" t="s">
        <v>199</v>
      </c>
      <c r="C43">
        <v>24.194818496704102</v>
      </c>
      <c r="D43">
        <v>24.198894500732422</v>
      </c>
      <c r="E43">
        <v>5.7629914954304695E-3</v>
      </c>
      <c r="F43">
        <f t="shared" si="2"/>
        <v>6.8826540561759426</v>
      </c>
      <c r="G43">
        <f t="shared" si="3"/>
        <v>7632275.8092491394</v>
      </c>
      <c r="H43">
        <f t="shared" si="4"/>
        <v>1526455.161849828</v>
      </c>
      <c r="I43" s="3">
        <f t="shared" si="5"/>
        <v>152645516.18498281</v>
      </c>
    </row>
    <row r="44" spans="1:9" x14ac:dyDescent="0.3">
      <c r="A44" t="s">
        <v>55</v>
      </c>
      <c r="B44" t="s">
        <v>38</v>
      </c>
      <c r="C44" t="s">
        <v>38</v>
      </c>
      <c r="D44" t="s">
        <v>38</v>
      </c>
      <c r="E44" t="s">
        <v>38</v>
      </c>
      <c r="F44" t="e">
        <f t="shared" si="2"/>
        <v>#VALUE!</v>
      </c>
      <c r="G44" t="e">
        <f t="shared" si="3"/>
        <v>#VALUE!</v>
      </c>
      <c r="H44" t="e">
        <f t="shared" si="4"/>
        <v>#VALUE!</v>
      </c>
      <c r="I44" s="3" t="e">
        <f t="shared" si="5"/>
        <v>#VALUE!</v>
      </c>
    </row>
    <row r="45" spans="1:9" x14ac:dyDescent="0.3">
      <c r="A45" s="1" t="s">
        <v>56</v>
      </c>
      <c r="B45" s="1" t="s">
        <v>40</v>
      </c>
      <c r="C45" s="1">
        <v>23.685909271240234</v>
      </c>
      <c r="D45" s="1">
        <v>23.702169418334961</v>
      </c>
      <c r="E45" s="1">
        <v>3.8761559873819351E-2</v>
      </c>
      <c r="F45">
        <f t="shared" si="2"/>
        <v>7.025555403240805</v>
      </c>
      <c r="G45">
        <f t="shared" si="3"/>
        <v>10606092.323795276</v>
      </c>
      <c r="H45">
        <f t="shared" si="4"/>
        <v>2121218.4647590551</v>
      </c>
      <c r="I45" s="3">
        <v>2121218.4647590551</v>
      </c>
    </row>
    <row r="46" spans="1:9" x14ac:dyDescent="0.3">
      <c r="A46" s="1" t="s">
        <v>58</v>
      </c>
      <c r="B46" s="1" t="s">
        <v>40</v>
      </c>
      <c r="C46" s="1">
        <v>23.746414184570313</v>
      </c>
      <c r="D46" s="1">
        <v>23.702169418334961</v>
      </c>
      <c r="E46" s="1">
        <v>3.8761559873819351E-2</v>
      </c>
      <c r="F46">
        <f t="shared" si="2"/>
        <v>7.025555403240805</v>
      </c>
      <c r="G46">
        <f t="shared" si="3"/>
        <v>10606092.323795276</v>
      </c>
      <c r="H46">
        <f t="shared" si="4"/>
        <v>2121218.4647590551</v>
      </c>
      <c r="I46" s="3">
        <v>2121218.4647590551</v>
      </c>
    </row>
    <row r="47" spans="1:9" x14ac:dyDescent="0.3">
      <c r="A47" s="1" t="s">
        <v>59</v>
      </c>
      <c r="B47" s="1" t="s">
        <v>40</v>
      </c>
      <c r="C47" s="1">
        <v>23.674188613891602</v>
      </c>
      <c r="D47" s="1">
        <v>23.702169418334961</v>
      </c>
      <c r="E47" s="1">
        <v>3.8761559873819351E-2</v>
      </c>
      <c r="F47">
        <f t="shared" si="2"/>
        <v>7.025555403240805</v>
      </c>
      <c r="G47">
        <f t="shared" si="3"/>
        <v>10606092.323795276</v>
      </c>
      <c r="H47">
        <f t="shared" si="4"/>
        <v>2121218.4647590551</v>
      </c>
      <c r="I47" s="3">
        <v>2121218.4647590551</v>
      </c>
    </row>
    <row r="48" spans="1:9" x14ac:dyDescent="0.3">
      <c r="A48" t="s">
        <v>60</v>
      </c>
      <c r="B48" t="s">
        <v>200</v>
      </c>
      <c r="C48">
        <v>25.460844039916992</v>
      </c>
      <c r="D48">
        <v>25.481948852539063</v>
      </c>
      <c r="E48">
        <v>2.9845364391803741E-2</v>
      </c>
      <c r="F48">
        <f t="shared" si="2"/>
        <v>6.5135360032971619</v>
      </c>
      <c r="G48">
        <f t="shared" si="3"/>
        <v>3262390.9470800618</v>
      </c>
      <c r="H48">
        <f t="shared" si="4"/>
        <v>652478.18941601238</v>
      </c>
      <c r="I48" s="3">
        <f t="shared" si="5"/>
        <v>65247818.941601239</v>
      </c>
    </row>
    <row r="49" spans="1:9" x14ac:dyDescent="0.3">
      <c r="A49" t="s">
        <v>62</v>
      </c>
      <c r="B49" t="s">
        <v>200</v>
      </c>
      <c r="C49">
        <v>25.5030517578125</v>
      </c>
      <c r="D49">
        <v>25.481948852539063</v>
      </c>
      <c r="E49">
        <v>2.9845364391803741E-2</v>
      </c>
      <c r="F49">
        <f t="shared" si="2"/>
        <v>6.5135360032971619</v>
      </c>
      <c r="G49">
        <f t="shared" si="3"/>
        <v>3262390.9470800618</v>
      </c>
      <c r="H49">
        <f t="shared" si="4"/>
        <v>652478.18941601238</v>
      </c>
      <c r="I49" s="3">
        <f t="shared" si="5"/>
        <v>65247818.941601239</v>
      </c>
    </row>
    <row r="50" spans="1:9" x14ac:dyDescent="0.3">
      <c r="A50" t="s">
        <v>63</v>
      </c>
      <c r="B50" t="s">
        <v>201</v>
      </c>
      <c r="C50">
        <v>29.421323776245117</v>
      </c>
      <c r="D50">
        <v>29.336475372314453</v>
      </c>
      <c r="E50">
        <v>0.1199951097369194</v>
      </c>
      <c r="F50">
        <f t="shared" si="2"/>
        <v>5.4046388457093055</v>
      </c>
      <c r="G50">
        <f t="shared" si="3"/>
        <v>253886.05402519641</v>
      </c>
      <c r="H50">
        <f>G50/10</f>
        <v>25388.605402519643</v>
      </c>
      <c r="I50" s="3">
        <f t="shared" si="5"/>
        <v>2538860.5402519642</v>
      </c>
    </row>
    <row r="51" spans="1:9" x14ac:dyDescent="0.3">
      <c r="A51" t="s">
        <v>65</v>
      </c>
      <c r="B51" t="s">
        <v>201</v>
      </c>
      <c r="C51">
        <v>29.251625061035156</v>
      </c>
      <c r="D51">
        <v>29.336475372314453</v>
      </c>
      <c r="E51">
        <v>0.1199951097369194</v>
      </c>
      <c r="F51">
        <f t="shared" si="2"/>
        <v>5.4046388457093055</v>
      </c>
      <c r="G51">
        <f t="shared" si="3"/>
        <v>253886.05402519641</v>
      </c>
      <c r="H51">
        <f>G51/10</f>
        <v>25388.605402519643</v>
      </c>
      <c r="I51" s="3">
        <f t="shared" si="5"/>
        <v>2538860.5402519642</v>
      </c>
    </row>
    <row r="52" spans="1:9" x14ac:dyDescent="0.3">
      <c r="A52" t="s">
        <v>66</v>
      </c>
      <c r="B52" t="s">
        <v>202</v>
      </c>
      <c r="C52">
        <v>25.150136947631836</v>
      </c>
      <c r="D52">
        <v>25.190549850463867</v>
      </c>
      <c r="E52">
        <v>5.7152476161718369E-2</v>
      </c>
      <c r="F52">
        <f t="shared" si="2"/>
        <v>6.5973677070011885</v>
      </c>
      <c r="G52">
        <f t="shared" si="3"/>
        <v>3957015.0950882686</v>
      </c>
      <c r="H52">
        <f t="shared" si="4"/>
        <v>791403.01901765377</v>
      </c>
      <c r="I52" s="3">
        <f t="shared" si="5"/>
        <v>79140301.901765376</v>
      </c>
    </row>
    <row r="53" spans="1:9" x14ac:dyDescent="0.3">
      <c r="A53" t="s">
        <v>68</v>
      </c>
      <c r="B53" t="s">
        <v>202</v>
      </c>
      <c r="C53">
        <v>25.230962753295898</v>
      </c>
      <c r="D53">
        <v>25.190549850463867</v>
      </c>
      <c r="E53">
        <v>5.7152476161718369E-2</v>
      </c>
      <c r="F53">
        <f t="shared" si="2"/>
        <v>6.5973677070011885</v>
      </c>
      <c r="G53">
        <f t="shared" si="3"/>
        <v>3957015.0950882686</v>
      </c>
      <c r="H53">
        <f t="shared" si="4"/>
        <v>791403.01901765377</v>
      </c>
      <c r="I53" s="3">
        <f t="shared" si="5"/>
        <v>79140301.901765376</v>
      </c>
    </row>
    <row r="54" spans="1:9" x14ac:dyDescent="0.3">
      <c r="A54" t="s">
        <v>69</v>
      </c>
      <c r="B54" t="s">
        <v>203</v>
      </c>
      <c r="C54">
        <v>23.4359130859375</v>
      </c>
      <c r="D54">
        <v>23.447307586669922</v>
      </c>
      <c r="E54">
        <v>1.6112908720970154E-2</v>
      </c>
      <c r="F54">
        <f t="shared" si="2"/>
        <v>7.0988758381271797</v>
      </c>
      <c r="G54">
        <f t="shared" si="3"/>
        <v>12556709.244978424</v>
      </c>
      <c r="H54">
        <f t="shared" si="4"/>
        <v>2511341.8489956846</v>
      </c>
      <c r="I54" s="3">
        <f t="shared" si="5"/>
        <v>251134184.89956847</v>
      </c>
    </row>
    <row r="55" spans="1:9" x14ac:dyDescent="0.3">
      <c r="A55" t="s">
        <v>71</v>
      </c>
      <c r="B55" t="s">
        <v>203</v>
      </c>
      <c r="C55">
        <v>23.458700180053711</v>
      </c>
      <c r="D55">
        <v>23.447307586669922</v>
      </c>
      <c r="E55">
        <v>1.6112908720970154E-2</v>
      </c>
      <c r="F55">
        <f t="shared" si="2"/>
        <v>7.0988758381271797</v>
      </c>
      <c r="G55">
        <f t="shared" si="3"/>
        <v>12556709.244978424</v>
      </c>
      <c r="H55">
        <f t="shared" si="4"/>
        <v>2511341.8489956846</v>
      </c>
      <c r="I55" s="3">
        <f t="shared" si="5"/>
        <v>251134184.89956847</v>
      </c>
    </row>
    <row r="56" spans="1:9" x14ac:dyDescent="0.3">
      <c r="A56" t="s">
        <v>72</v>
      </c>
      <c r="B56" t="s">
        <v>38</v>
      </c>
      <c r="C56" t="s">
        <v>38</v>
      </c>
      <c r="D56" t="s">
        <v>38</v>
      </c>
      <c r="E56" t="s">
        <v>38</v>
      </c>
      <c r="F56" t="e">
        <f t="shared" si="2"/>
        <v>#VALUE!</v>
      </c>
      <c r="G56" t="e">
        <f t="shared" si="3"/>
        <v>#VALUE!</v>
      </c>
      <c r="H56" t="e">
        <f t="shared" si="4"/>
        <v>#VALUE!</v>
      </c>
      <c r="I56" s="3" t="e">
        <f t="shared" si="5"/>
        <v>#VALUE!</v>
      </c>
    </row>
    <row r="57" spans="1:9" x14ac:dyDescent="0.3">
      <c r="A57" s="1" t="s">
        <v>73</v>
      </c>
      <c r="B57" s="1" t="s">
        <v>57</v>
      </c>
      <c r="C57" s="1">
        <v>27.143705368041992</v>
      </c>
      <c r="D57" s="1">
        <v>27.118562698364258</v>
      </c>
      <c r="E57" s="1">
        <v>2.3060373961925507E-2</v>
      </c>
      <c r="F57">
        <f t="shared" si="2"/>
        <v>6.0427034814832394</v>
      </c>
      <c r="G57">
        <f t="shared" si="3"/>
        <v>1103325.0574391088</v>
      </c>
      <c r="H57">
        <f t="shared" si="4"/>
        <v>220665.01148782176</v>
      </c>
      <c r="I57" s="3">
        <v>220665.01148782176</v>
      </c>
    </row>
    <row r="58" spans="1:9" x14ac:dyDescent="0.3">
      <c r="A58" s="1" t="s">
        <v>75</v>
      </c>
      <c r="B58" s="1" t="s">
        <v>57</v>
      </c>
      <c r="C58" s="1">
        <v>27.113582611083984</v>
      </c>
      <c r="D58" s="1">
        <v>27.118562698364258</v>
      </c>
      <c r="E58" s="1">
        <v>2.3060373961925507E-2</v>
      </c>
      <c r="F58">
        <f t="shared" si="2"/>
        <v>6.0427034814832394</v>
      </c>
      <c r="G58">
        <f t="shared" si="3"/>
        <v>1103325.0574391088</v>
      </c>
      <c r="H58">
        <f t="shared" si="4"/>
        <v>220665.01148782176</v>
      </c>
      <c r="I58" s="3">
        <v>220665.01148782176</v>
      </c>
    </row>
    <row r="59" spans="1:9" x14ac:dyDescent="0.3">
      <c r="A59" s="1" t="s">
        <v>76</v>
      </c>
      <c r="B59" s="1" t="s">
        <v>57</v>
      </c>
      <c r="C59" s="1">
        <v>27.098398208618164</v>
      </c>
      <c r="D59" s="1">
        <v>27.118562698364258</v>
      </c>
      <c r="E59" s="1">
        <v>2.3060373961925507E-2</v>
      </c>
      <c r="F59">
        <f t="shared" si="2"/>
        <v>6.0427034814832394</v>
      </c>
      <c r="G59">
        <f t="shared" si="3"/>
        <v>1103325.0574391088</v>
      </c>
      <c r="H59">
        <f t="shared" si="4"/>
        <v>220665.01148782176</v>
      </c>
      <c r="I59" s="3">
        <v>220665.01148782176</v>
      </c>
    </row>
    <row r="60" spans="1:9" x14ac:dyDescent="0.3">
      <c r="A60" t="s">
        <v>77</v>
      </c>
      <c r="B60" t="s">
        <v>204</v>
      </c>
      <c r="C60">
        <v>23.145694732666016</v>
      </c>
      <c r="D60">
        <v>23.158088684082031</v>
      </c>
      <c r="E60">
        <v>1.7529042437672615E-2</v>
      </c>
      <c r="F60">
        <f t="shared" si="2"/>
        <v>7.1820803555575274</v>
      </c>
      <c r="G60">
        <f t="shared" si="3"/>
        <v>15208288.958421452</v>
      </c>
      <c r="H60">
        <f t="shared" si="4"/>
        <v>3041657.7916842904</v>
      </c>
      <c r="I60" s="3">
        <f t="shared" si="5"/>
        <v>304165779.16842902</v>
      </c>
    </row>
    <row r="61" spans="1:9" x14ac:dyDescent="0.3">
      <c r="A61" t="s">
        <v>79</v>
      </c>
      <c r="B61" t="s">
        <v>204</v>
      </c>
      <c r="C61">
        <v>23.17048454284668</v>
      </c>
      <c r="D61">
        <v>23.158088684082031</v>
      </c>
      <c r="E61">
        <v>1.7529042437672615E-2</v>
      </c>
      <c r="F61">
        <f t="shared" si="2"/>
        <v>7.1820803555575274</v>
      </c>
      <c r="G61">
        <f t="shared" si="3"/>
        <v>15208288.958421452</v>
      </c>
      <c r="H61">
        <f t="shared" si="4"/>
        <v>3041657.7916842904</v>
      </c>
      <c r="I61" s="3">
        <f t="shared" si="5"/>
        <v>304165779.16842902</v>
      </c>
    </row>
    <row r="62" spans="1:9" x14ac:dyDescent="0.3">
      <c r="A62" t="s">
        <v>80</v>
      </c>
      <c r="B62" t="s">
        <v>205</v>
      </c>
      <c r="C62">
        <v>31.335441589355469</v>
      </c>
      <c r="D62">
        <v>31.459323883056641</v>
      </c>
      <c r="E62">
        <v>0.17519466578960419</v>
      </c>
      <c r="F62">
        <f t="shared" si="2"/>
        <v>4.793922933528008</v>
      </c>
      <c r="G62">
        <f t="shared" si="3"/>
        <v>62218.986646807098</v>
      </c>
      <c r="H62">
        <f>G62/10</f>
        <v>6221.8986646807098</v>
      </c>
      <c r="I62" s="3">
        <f t="shared" si="5"/>
        <v>622189.86646807101</v>
      </c>
    </row>
    <row r="63" spans="1:9" x14ac:dyDescent="0.3">
      <c r="A63" t="s">
        <v>82</v>
      </c>
      <c r="B63" t="s">
        <v>205</v>
      </c>
      <c r="C63">
        <v>31.58320426940918</v>
      </c>
      <c r="D63">
        <v>31.459323883056641</v>
      </c>
      <c r="E63">
        <v>0.17519466578960419</v>
      </c>
      <c r="F63">
        <f t="shared" si="2"/>
        <v>4.793922933528008</v>
      </c>
      <c r="G63">
        <f t="shared" si="3"/>
        <v>62218.986646807098</v>
      </c>
      <c r="H63">
        <f>G63/10</f>
        <v>6221.8986646807098</v>
      </c>
      <c r="I63" s="3">
        <f t="shared" si="5"/>
        <v>622189.86646807101</v>
      </c>
    </row>
    <row r="64" spans="1:9" x14ac:dyDescent="0.3">
      <c r="A64" t="s">
        <v>83</v>
      </c>
      <c r="B64" t="s">
        <v>206</v>
      </c>
      <c r="C64">
        <v>31.391338348388672</v>
      </c>
      <c r="D64">
        <v>31.428264617919922</v>
      </c>
      <c r="E64">
        <v>5.2220281213521957E-2</v>
      </c>
      <c r="F64">
        <f t="shared" si="2"/>
        <v>4.8028582802301711</v>
      </c>
      <c r="G64">
        <f t="shared" si="3"/>
        <v>63512.364332301899</v>
      </c>
      <c r="H64">
        <f t="shared" si="4"/>
        <v>12702.472866460379</v>
      </c>
      <c r="I64" s="3">
        <f t="shared" si="5"/>
        <v>1270247.2866460378</v>
      </c>
    </row>
    <row r="65" spans="1:9" x14ac:dyDescent="0.3">
      <c r="A65" t="s">
        <v>85</v>
      </c>
      <c r="B65" t="s">
        <v>206</v>
      </c>
      <c r="C65">
        <v>31.465188980102539</v>
      </c>
      <c r="D65">
        <v>31.428264617919922</v>
      </c>
      <c r="E65">
        <v>5.2220281213521957E-2</v>
      </c>
      <c r="F65">
        <f t="shared" si="2"/>
        <v>4.8028582802301711</v>
      </c>
      <c r="G65">
        <f t="shared" si="3"/>
        <v>63512.364332301899</v>
      </c>
      <c r="H65">
        <f t="shared" si="4"/>
        <v>12702.472866460379</v>
      </c>
      <c r="I65" s="3">
        <f t="shared" si="5"/>
        <v>1270247.2866460378</v>
      </c>
    </row>
    <row r="66" spans="1:9" x14ac:dyDescent="0.3">
      <c r="A66" t="s">
        <v>86</v>
      </c>
      <c r="B66" t="s">
        <v>207</v>
      </c>
      <c r="C66">
        <v>23.516538619995117</v>
      </c>
      <c r="D66">
        <v>23.510833740234375</v>
      </c>
      <c r="E66">
        <v>8.069266565144062E-3</v>
      </c>
      <c r="F66">
        <f t="shared" si="2"/>
        <v>7.08060018980599</v>
      </c>
      <c r="G66">
        <f t="shared" si="3"/>
        <v>12039270.983855437</v>
      </c>
      <c r="H66">
        <f t="shared" si="4"/>
        <v>2407854.1967710876</v>
      </c>
      <c r="I66" s="3">
        <f t="shared" si="5"/>
        <v>240785419.67710876</v>
      </c>
    </row>
    <row r="67" spans="1:9" x14ac:dyDescent="0.3">
      <c r="A67" t="s">
        <v>88</v>
      </c>
      <c r="B67" t="s">
        <v>207</v>
      </c>
      <c r="C67">
        <v>23.505126953125</v>
      </c>
      <c r="D67">
        <v>23.510833740234375</v>
      </c>
      <c r="E67">
        <v>8.069266565144062E-3</v>
      </c>
      <c r="F67">
        <f t="shared" si="2"/>
        <v>7.08060018980599</v>
      </c>
      <c r="G67">
        <f t="shared" si="3"/>
        <v>12039270.983855437</v>
      </c>
      <c r="H67">
        <f t="shared" si="4"/>
        <v>2407854.1967710876</v>
      </c>
      <c r="I67" s="3">
        <f t="shared" si="5"/>
        <v>240785419.67710876</v>
      </c>
    </row>
    <row r="68" spans="1:9" x14ac:dyDescent="0.3">
      <c r="A68" t="s">
        <v>89</v>
      </c>
      <c r="B68" t="s">
        <v>38</v>
      </c>
      <c r="C68" t="s">
        <v>38</v>
      </c>
      <c r="D68" t="s">
        <v>38</v>
      </c>
      <c r="E68" t="s">
        <v>38</v>
      </c>
      <c r="F68" t="e">
        <f t="shared" si="2"/>
        <v>#VALUE!</v>
      </c>
      <c r="G68" t="e">
        <f t="shared" si="3"/>
        <v>#VALUE!</v>
      </c>
      <c r="H68" t="e">
        <f t="shared" si="4"/>
        <v>#VALUE!</v>
      </c>
      <c r="I68" s="3" t="e">
        <f t="shared" si="5"/>
        <v>#VALUE!</v>
      </c>
    </row>
    <row r="69" spans="1:9" x14ac:dyDescent="0.3">
      <c r="A69" s="1" t="s">
        <v>90</v>
      </c>
      <c r="B69" s="1" t="s">
        <v>74</v>
      </c>
      <c r="C69" s="1">
        <v>30.714633941650391</v>
      </c>
      <c r="D69" s="1">
        <v>30.692253112792969</v>
      </c>
      <c r="E69" s="1">
        <v>5.3674418479204178E-2</v>
      </c>
      <c r="F69">
        <f t="shared" si="2"/>
        <v>5.0145992195647375</v>
      </c>
      <c r="G69">
        <f t="shared" si="3"/>
        <v>103418.73459776265</v>
      </c>
      <c r="H69">
        <f t="shared" si="4"/>
        <v>20683.74691955253</v>
      </c>
      <c r="I69" s="3">
        <v>20683.74691955253</v>
      </c>
    </row>
    <row r="70" spans="1:9" x14ac:dyDescent="0.3">
      <c r="A70" s="1" t="s">
        <v>92</v>
      </c>
      <c r="B70" s="1" t="s">
        <v>74</v>
      </c>
      <c r="C70" s="1">
        <v>30.731115341186523</v>
      </c>
      <c r="D70" s="1">
        <v>30.692253112792969</v>
      </c>
      <c r="E70" s="1">
        <v>5.3674418479204178E-2</v>
      </c>
      <c r="F70">
        <f t="shared" si="2"/>
        <v>5.0145992195647375</v>
      </c>
      <c r="G70">
        <f t="shared" si="3"/>
        <v>103418.73459776265</v>
      </c>
      <c r="H70">
        <f t="shared" si="4"/>
        <v>20683.74691955253</v>
      </c>
      <c r="I70" s="3">
        <v>20683.74691955253</v>
      </c>
    </row>
    <row r="71" spans="1:9" x14ac:dyDescent="0.3">
      <c r="A71" s="1" t="s">
        <v>93</v>
      </c>
      <c r="B71" s="1" t="s">
        <v>74</v>
      </c>
      <c r="C71" s="1">
        <v>30.631010055541992</v>
      </c>
      <c r="D71" s="1">
        <v>30.692253112792969</v>
      </c>
      <c r="E71" s="1">
        <v>5.3674418479204178E-2</v>
      </c>
      <c r="F71">
        <f t="shared" si="2"/>
        <v>5.0145992195647375</v>
      </c>
      <c r="G71">
        <f t="shared" si="3"/>
        <v>103418.73459776265</v>
      </c>
      <c r="H71">
        <f t="shared" si="4"/>
        <v>20683.74691955253</v>
      </c>
      <c r="I71" s="3">
        <v>20683.74691955253</v>
      </c>
    </row>
    <row r="72" spans="1:9" x14ac:dyDescent="0.3">
      <c r="A72" t="s">
        <v>94</v>
      </c>
      <c r="B72" t="s">
        <v>208</v>
      </c>
      <c r="C72">
        <v>23.831344604492188</v>
      </c>
      <c r="D72">
        <v>23.846614837646484</v>
      </c>
      <c r="E72">
        <v>2.1595370024442673E-2</v>
      </c>
      <c r="F72">
        <f t="shared" si="2"/>
        <v>6.9840003343939916</v>
      </c>
      <c r="G72">
        <f t="shared" si="3"/>
        <v>9638297.6574428957</v>
      </c>
      <c r="H72">
        <f t="shared" si="4"/>
        <v>1927659.5314885792</v>
      </c>
      <c r="I72" s="3">
        <f t="shared" si="5"/>
        <v>192765953.14885792</v>
      </c>
    </row>
    <row r="73" spans="1:9" x14ac:dyDescent="0.3">
      <c r="A73" t="s">
        <v>96</v>
      </c>
      <c r="B73" t="s">
        <v>208</v>
      </c>
      <c r="C73">
        <v>23.861885070800781</v>
      </c>
      <c r="D73">
        <v>23.846614837646484</v>
      </c>
      <c r="E73">
        <v>2.1595370024442673E-2</v>
      </c>
      <c r="F73">
        <f t="shared" si="2"/>
        <v>6.9840003343939916</v>
      </c>
      <c r="G73">
        <f t="shared" si="3"/>
        <v>9638297.6574428957</v>
      </c>
      <c r="H73">
        <f t="shared" si="4"/>
        <v>1927659.5314885792</v>
      </c>
      <c r="I73" s="3">
        <f t="shared" si="5"/>
        <v>192765953.14885792</v>
      </c>
    </row>
    <row r="74" spans="1:9" x14ac:dyDescent="0.3">
      <c r="A74" t="s">
        <v>97</v>
      </c>
      <c r="B74" t="s">
        <v>209</v>
      </c>
      <c r="C74">
        <v>31.316959381103516</v>
      </c>
      <c r="D74">
        <v>31.333385467529297</v>
      </c>
      <c r="E74">
        <v>2.3231342434883118E-2</v>
      </c>
      <c r="F74">
        <f t="shared" si="2"/>
        <v>4.8301537780410531</v>
      </c>
      <c r="G74">
        <f t="shared" si="3"/>
        <v>67632.240998920446</v>
      </c>
      <c r="H74">
        <f>G74/10</f>
        <v>6763.2240998920443</v>
      </c>
      <c r="I74" s="3">
        <f t="shared" si="5"/>
        <v>676322.40998920437</v>
      </c>
    </row>
    <row r="75" spans="1:9" x14ac:dyDescent="0.3">
      <c r="A75" t="s">
        <v>99</v>
      </c>
      <c r="B75" t="s">
        <v>209</v>
      </c>
      <c r="C75">
        <v>31.349813461303711</v>
      </c>
      <c r="D75">
        <v>31.333385467529297</v>
      </c>
      <c r="E75">
        <v>2.3231342434883118E-2</v>
      </c>
      <c r="F75">
        <f t="shared" si="2"/>
        <v>4.8301537780410531</v>
      </c>
      <c r="G75">
        <f t="shared" si="3"/>
        <v>67632.240998920446</v>
      </c>
      <c r="H75">
        <f>G75/10</f>
        <v>6763.2240998920443</v>
      </c>
      <c r="I75" s="3">
        <f t="shared" si="5"/>
        <v>676322.40998920437</v>
      </c>
    </row>
    <row r="76" spans="1:9" ht="10.050000000000001" customHeight="1" x14ac:dyDescent="0.3">
      <c r="A76" t="s">
        <v>100</v>
      </c>
      <c r="B76" t="s">
        <v>210</v>
      </c>
      <c r="C76">
        <v>22.686731338500977</v>
      </c>
      <c r="D76">
        <v>22.71453857421875</v>
      </c>
      <c r="E76">
        <v>3.9325371384620667E-2</v>
      </c>
      <c r="F76">
        <f t="shared" si="2"/>
        <v>7.3096839544825221</v>
      </c>
      <c r="G76">
        <f t="shared" si="3"/>
        <v>20402526.681666084</v>
      </c>
      <c r="H76">
        <f t="shared" si="4"/>
        <v>4080505.3363332166</v>
      </c>
      <c r="I76" s="3">
        <f t="shared" si="5"/>
        <v>408050533.63332164</v>
      </c>
    </row>
    <row r="77" spans="1:9" x14ac:dyDescent="0.3">
      <c r="A77" t="s">
        <v>102</v>
      </c>
      <c r="B77" t="s">
        <v>210</v>
      </c>
      <c r="C77">
        <v>22.742345809936523</v>
      </c>
      <c r="D77">
        <v>22.71453857421875</v>
      </c>
      <c r="E77">
        <v>3.9325371384620667E-2</v>
      </c>
      <c r="F77">
        <f t="shared" si="2"/>
        <v>7.3096839544825221</v>
      </c>
      <c r="G77">
        <f t="shared" si="3"/>
        <v>20402526.681666084</v>
      </c>
      <c r="H77">
        <f t="shared" si="4"/>
        <v>4080505.3363332166</v>
      </c>
      <c r="I77" s="3">
        <f t="shared" si="5"/>
        <v>408050533.63332164</v>
      </c>
    </row>
    <row r="78" spans="1:9" x14ac:dyDescent="0.3">
      <c r="A78" t="s">
        <v>103</v>
      </c>
      <c r="B78" t="s">
        <v>211</v>
      </c>
      <c r="C78">
        <v>22.217010498046875</v>
      </c>
      <c r="D78">
        <v>22.195438385009766</v>
      </c>
      <c r="E78">
        <v>3.0506225302815437E-2</v>
      </c>
      <c r="F78">
        <f t="shared" si="2"/>
        <v>7.4590223288234272</v>
      </c>
      <c r="G78">
        <f t="shared" si="3"/>
        <v>28775463.571468405</v>
      </c>
      <c r="H78">
        <f t="shared" si="4"/>
        <v>5755092.7142936811</v>
      </c>
      <c r="I78" s="3">
        <f t="shared" si="5"/>
        <v>575509271.42936814</v>
      </c>
    </row>
    <row r="79" spans="1:9" x14ac:dyDescent="0.3">
      <c r="A79" t="s">
        <v>105</v>
      </c>
      <c r="B79" t="s">
        <v>211</v>
      </c>
      <c r="C79">
        <v>22.173868179321289</v>
      </c>
      <c r="D79">
        <v>22.195438385009766</v>
      </c>
      <c r="E79">
        <v>3.0506225302815437E-2</v>
      </c>
      <c r="F79">
        <f t="shared" si="2"/>
        <v>7.4590223288234272</v>
      </c>
      <c r="G79">
        <f t="shared" si="3"/>
        <v>28775463.571468405</v>
      </c>
      <c r="H79">
        <f t="shared" si="4"/>
        <v>5755092.7142936811</v>
      </c>
      <c r="I79" s="3">
        <f t="shared" si="5"/>
        <v>575509271.42936814</v>
      </c>
    </row>
    <row r="80" spans="1:9" x14ac:dyDescent="0.3">
      <c r="A80" t="s">
        <v>106</v>
      </c>
      <c r="B80" t="s">
        <v>38</v>
      </c>
      <c r="C80" t="s">
        <v>38</v>
      </c>
      <c r="D80" t="s">
        <v>38</v>
      </c>
      <c r="E80" t="s">
        <v>38</v>
      </c>
      <c r="F80" t="e">
        <f t="shared" si="2"/>
        <v>#VALUE!</v>
      </c>
      <c r="G80" t="e">
        <f t="shared" si="3"/>
        <v>#VALUE!</v>
      </c>
      <c r="H80" t="e">
        <f t="shared" si="4"/>
        <v>#VALUE!</v>
      </c>
      <c r="I80" s="3" t="e">
        <f t="shared" si="5"/>
        <v>#VALUE!</v>
      </c>
    </row>
    <row r="81" spans="1:9" x14ac:dyDescent="0.3">
      <c r="A81" s="1" t="s">
        <v>107</v>
      </c>
      <c r="B81" s="1" t="s">
        <v>91</v>
      </c>
      <c r="C81" s="1">
        <v>34.190547943115234</v>
      </c>
      <c r="D81" s="1">
        <v>34.127887725830078</v>
      </c>
      <c r="E81" s="1">
        <v>6.041046604514122E-2</v>
      </c>
      <c r="F81">
        <f t="shared" si="2"/>
        <v>4.0262118165045795</v>
      </c>
      <c r="G81">
        <f t="shared" si="3"/>
        <v>10622.134995192793</v>
      </c>
      <c r="H81">
        <f t="shared" si="4"/>
        <v>2124.4269990385587</v>
      </c>
      <c r="I81" s="3">
        <v>2124.4269990385587</v>
      </c>
    </row>
    <row r="82" spans="1:9" x14ac:dyDescent="0.3">
      <c r="A82" s="1" t="s">
        <v>109</v>
      </c>
      <c r="B82" s="1" t="s">
        <v>91</v>
      </c>
      <c r="C82" s="1">
        <v>34.12310791015625</v>
      </c>
      <c r="D82" s="1">
        <v>34.127887725830078</v>
      </c>
      <c r="E82" s="1">
        <v>6.041046604514122E-2</v>
      </c>
      <c r="F82">
        <f t="shared" si="2"/>
        <v>4.0262118165045795</v>
      </c>
      <c r="G82">
        <f t="shared" si="3"/>
        <v>10622.134995192793</v>
      </c>
      <c r="H82">
        <f t="shared" si="4"/>
        <v>2124.4269990385587</v>
      </c>
      <c r="I82" s="3">
        <v>2124.4269990385587</v>
      </c>
    </row>
    <row r="83" spans="1:9" x14ac:dyDescent="0.3">
      <c r="A83" s="1" t="s">
        <v>110</v>
      </c>
      <c r="B83" s="1" t="s">
        <v>91</v>
      </c>
      <c r="C83" s="1">
        <v>34.070011138916016</v>
      </c>
      <c r="D83" s="1">
        <v>34.127887725830078</v>
      </c>
      <c r="E83" s="1">
        <v>6.041046604514122E-2</v>
      </c>
      <c r="F83">
        <f t="shared" si="2"/>
        <v>4.0262118165045795</v>
      </c>
      <c r="G83">
        <f t="shared" si="3"/>
        <v>10622.134995192793</v>
      </c>
      <c r="H83">
        <f t="shared" si="4"/>
        <v>2124.4269990385587</v>
      </c>
      <c r="I83" s="3">
        <v>2124.4269990385587</v>
      </c>
    </row>
    <row r="84" spans="1:9" x14ac:dyDescent="0.3">
      <c r="A84" t="s">
        <v>111</v>
      </c>
      <c r="B84" t="s">
        <v>212</v>
      </c>
      <c r="C84">
        <v>25.946212768554688</v>
      </c>
      <c r="D84">
        <v>25.953502655029297</v>
      </c>
      <c r="E84">
        <v>1.0309455916285515E-2</v>
      </c>
      <c r="F84">
        <f t="shared" si="2"/>
        <v>6.3778761061480731</v>
      </c>
      <c r="G84">
        <f t="shared" si="3"/>
        <v>2387130.1944893124</v>
      </c>
      <c r="H84">
        <f t="shared" si="4"/>
        <v>477426.03889786248</v>
      </c>
      <c r="I84" s="3">
        <f t="shared" si="5"/>
        <v>47742603.889786251</v>
      </c>
    </row>
    <row r="85" spans="1:9" x14ac:dyDescent="0.3">
      <c r="A85" t="s">
        <v>113</v>
      </c>
      <c r="B85" t="s">
        <v>212</v>
      </c>
      <c r="C85">
        <v>25.960792541503906</v>
      </c>
      <c r="D85">
        <v>25.953502655029297</v>
      </c>
      <c r="E85">
        <v>1.0309455916285515E-2</v>
      </c>
      <c r="F85">
        <f t="shared" si="2"/>
        <v>6.3778761061480731</v>
      </c>
      <c r="G85">
        <f t="shared" si="3"/>
        <v>2387130.1944893124</v>
      </c>
      <c r="H85">
        <f t="shared" si="4"/>
        <v>477426.03889786248</v>
      </c>
      <c r="I85" s="3">
        <f t="shared" si="5"/>
        <v>47742603.889786251</v>
      </c>
    </row>
    <row r="86" spans="1:9" x14ac:dyDescent="0.3">
      <c r="A86" t="s">
        <v>114</v>
      </c>
      <c r="B86" t="s">
        <v>213</v>
      </c>
      <c r="C86">
        <v>32.704311370849609</v>
      </c>
      <c r="D86">
        <v>32.658103942871094</v>
      </c>
      <c r="E86">
        <v>6.5347172319889069E-2</v>
      </c>
      <c r="F86">
        <f t="shared" ref="F86:F116" si="6">(D86-48.123)/-3.476</f>
        <v>4.4490494985986491</v>
      </c>
      <c r="G86">
        <f t="shared" ref="G86:G116" si="7">10^F86</f>
        <v>28122.213343163141</v>
      </c>
      <c r="H86">
        <f>G86/10</f>
        <v>2812.2213343163139</v>
      </c>
      <c r="I86" s="3">
        <f t="shared" si="5"/>
        <v>281222.13343163137</v>
      </c>
    </row>
    <row r="87" spans="1:9" x14ac:dyDescent="0.3">
      <c r="A87" t="s">
        <v>116</v>
      </c>
      <c r="B87" t="s">
        <v>213</v>
      </c>
      <c r="C87">
        <v>32.611896514892578</v>
      </c>
      <c r="D87">
        <v>32.658103942871094</v>
      </c>
      <c r="E87">
        <v>6.5347172319889069E-2</v>
      </c>
      <c r="F87">
        <f t="shared" si="6"/>
        <v>4.4490494985986491</v>
      </c>
      <c r="G87">
        <f t="shared" si="7"/>
        <v>28122.213343163141</v>
      </c>
      <c r="H87">
        <f>G87/10</f>
        <v>2812.2213343163139</v>
      </c>
      <c r="I87" s="3">
        <f t="shared" si="5"/>
        <v>281222.13343163137</v>
      </c>
    </row>
    <row r="88" spans="1:9" x14ac:dyDescent="0.3">
      <c r="A88" t="s">
        <v>117</v>
      </c>
      <c r="B88" t="s">
        <v>214</v>
      </c>
      <c r="C88">
        <v>26.792427062988281</v>
      </c>
      <c r="D88">
        <v>26.803487777709961</v>
      </c>
      <c r="E88">
        <v>1.5642212703824043E-2</v>
      </c>
      <c r="F88">
        <f t="shared" si="6"/>
        <v>6.1333464390937964</v>
      </c>
      <c r="G88">
        <f t="shared" si="7"/>
        <v>1359397.4129702107</v>
      </c>
      <c r="H88">
        <f t="shared" ref="H88:H116" si="8">G88/5</f>
        <v>271879.48259404214</v>
      </c>
      <c r="I88" s="3">
        <f t="shared" ref="I88:I118" si="9">H88*100</f>
        <v>27187948.259404216</v>
      </c>
    </row>
    <row r="89" spans="1:9" x14ac:dyDescent="0.3">
      <c r="A89" t="s">
        <v>119</v>
      </c>
      <c r="B89" t="s">
        <v>214</v>
      </c>
      <c r="C89">
        <v>26.814548492431641</v>
      </c>
      <c r="D89">
        <v>26.803487777709961</v>
      </c>
      <c r="E89">
        <v>1.5642212703824043E-2</v>
      </c>
      <c r="F89">
        <f t="shared" si="6"/>
        <v>6.1333464390937964</v>
      </c>
      <c r="G89">
        <f t="shared" si="7"/>
        <v>1359397.4129702107</v>
      </c>
      <c r="H89">
        <f t="shared" si="8"/>
        <v>271879.48259404214</v>
      </c>
      <c r="I89" s="3">
        <f t="shared" si="9"/>
        <v>27187948.259404216</v>
      </c>
    </row>
    <row r="90" spans="1:9" x14ac:dyDescent="0.3">
      <c r="A90" t="s">
        <v>120</v>
      </c>
      <c r="B90" t="s">
        <v>215</v>
      </c>
      <c r="C90">
        <v>22.741544723510742</v>
      </c>
      <c r="D90">
        <v>22.741252899169922</v>
      </c>
      <c r="E90">
        <v>4.113532486371696E-4</v>
      </c>
      <c r="F90">
        <f t="shared" si="6"/>
        <v>7.3019985905725191</v>
      </c>
      <c r="G90">
        <f t="shared" si="7"/>
        <v>20044655.222091131</v>
      </c>
      <c r="H90">
        <f t="shared" si="8"/>
        <v>4008931.044418226</v>
      </c>
      <c r="I90" s="3">
        <f t="shared" si="9"/>
        <v>400893104.44182259</v>
      </c>
    </row>
    <row r="91" spans="1:9" x14ac:dyDescent="0.3">
      <c r="A91" t="s">
        <v>122</v>
      </c>
      <c r="B91" t="s">
        <v>215</v>
      </c>
      <c r="C91">
        <v>22.740962982177734</v>
      </c>
      <c r="D91">
        <v>22.741252899169922</v>
      </c>
      <c r="E91">
        <v>4.113532486371696E-4</v>
      </c>
      <c r="F91">
        <f t="shared" si="6"/>
        <v>7.3019985905725191</v>
      </c>
      <c r="G91">
        <f t="shared" si="7"/>
        <v>20044655.222091131</v>
      </c>
      <c r="H91">
        <f t="shared" si="8"/>
        <v>4008931.044418226</v>
      </c>
      <c r="I91" s="3">
        <f t="shared" si="9"/>
        <v>400893104.44182259</v>
      </c>
    </row>
    <row r="92" spans="1:9" x14ac:dyDescent="0.3">
      <c r="A92" t="s">
        <v>123</v>
      </c>
      <c r="B92" t="s">
        <v>38</v>
      </c>
      <c r="C92" t="s">
        <v>38</v>
      </c>
      <c r="D92" t="s">
        <v>38</v>
      </c>
      <c r="E92" t="s">
        <v>38</v>
      </c>
      <c r="F92" t="e">
        <f t="shared" si="6"/>
        <v>#VALUE!</v>
      </c>
      <c r="G92" t="e">
        <f t="shared" si="7"/>
        <v>#VALUE!</v>
      </c>
      <c r="H92" t="e">
        <f t="shared" si="8"/>
        <v>#VALUE!</v>
      </c>
      <c r="I92" s="3" t="e">
        <f t="shared" si="9"/>
        <v>#VALUE!</v>
      </c>
    </row>
    <row r="93" spans="1:9" x14ac:dyDescent="0.3">
      <c r="A93" s="1" t="s">
        <v>124</v>
      </c>
      <c r="B93" s="1" t="s">
        <v>108</v>
      </c>
      <c r="C93" s="1">
        <v>36.925464630126953</v>
      </c>
      <c r="D93" s="1">
        <v>37.176860809326172</v>
      </c>
      <c r="E93" s="1">
        <v>0.33359003067016602</v>
      </c>
      <c r="F93">
        <f t="shared" si="6"/>
        <v>3.1490619075586381</v>
      </c>
      <c r="G93">
        <f t="shared" si="7"/>
        <v>1409.4897032253607</v>
      </c>
      <c r="H93">
        <f t="shared" si="8"/>
        <v>281.89794064507214</v>
      </c>
      <c r="I93" s="3">
        <v>281.89794064507214</v>
      </c>
    </row>
    <row r="94" spans="1:9" x14ac:dyDescent="0.3">
      <c r="A94" s="1" t="s">
        <v>126</v>
      </c>
      <c r="B94" s="1" t="s">
        <v>108</v>
      </c>
      <c r="C94" s="1">
        <v>37.555309295654297</v>
      </c>
      <c r="D94" s="1">
        <v>37.176860809326172</v>
      </c>
      <c r="E94" s="1">
        <v>0.33359003067016602</v>
      </c>
      <c r="F94">
        <f t="shared" si="6"/>
        <v>3.1490619075586381</v>
      </c>
      <c r="G94">
        <f t="shared" si="7"/>
        <v>1409.4897032253607</v>
      </c>
      <c r="H94">
        <f t="shared" si="8"/>
        <v>281.89794064507214</v>
      </c>
      <c r="I94" s="3">
        <v>281.89794064507214</v>
      </c>
    </row>
    <row r="95" spans="1:9" x14ac:dyDescent="0.3">
      <c r="A95" s="1" t="s">
        <v>127</v>
      </c>
      <c r="B95" s="1" t="s">
        <v>108</v>
      </c>
      <c r="C95" s="1">
        <v>37.049812316894531</v>
      </c>
      <c r="D95" s="1">
        <v>37.176860809326172</v>
      </c>
      <c r="E95" s="1">
        <v>0.33359003067016602</v>
      </c>
      <c r="F95">
        <f t="shared" si="6"/>
        <v>3.1490619075586381</v>
      </c>
      <c r="G95">
        <f t="shared" si="7"/>
        <v>1409.4897032253607</v>
      </c>
      <c r="H95">
        <f t="shared" si="8"/>
        <v>281.89794064507214</v>
      </c>
      <c r="I95" s="3">
        <v>281.89794064507214</v>
      </c>
    </row>
    <row r="96" spans="1:9" x14ac:dyDescent="0.3">
      <c r="A96" t="s">
        <v>128</v>
      </c>
      <c r="B96" t="s">
        <v>216</v>
      </c>
      <c r="C96">
        <v>25.922170639038086</v>
      </c>
      <c r="D96">
        <v>25.956274032592773</v>
      </c>
      <c r="E96">
        <v>4.8229482024908066E-2</v>
      </c>
      <c r="F96">
        <f t="shared" si="6"/>
        <v>6.3770788168605366</v>
      </c>
      <c r="G96">
        <f t="shared" si="7"/>
        <v>2382751.8579531498</v>
      </c>
      <c r="H96">
        <f t="shared" si="8"/>
        <v>476550.37159062998</v>
      </c>
      <c r="I96" s="3">
        <f t="shared" si="9"/>
        <v>47655037.159062997</v>
      </c>
    </row>
    <row r="97" spans="1:9" x14ac:dyDescent="0.3">
      <c r="A97" t="s">
        <v>130</v>
      </c>
      <c r="B97" t="s">
        <v>216</v>
      </c>
      <c r="C97">
        <v>25.990377426147461</v>
      </c>
      <c r="D97">
        <v>25.956274032592773</v>
      </c>
      <c r="E97">
        <v>4.8229482024908066E-2</v>
      </c>
      <c r="F97">
        <f t="shared" si="6"/>
        <v>6.3770788168605366</v>
      </c>
      <c r="G97">
        <f t="shared" si="7"/>
        <v>2382751.8579531498</v>
      </c>
      <c r="H97">
        <f t="shared" si="8"/>
        <v>476550.37159062998</v>
      </c>
      <c r="I97" s="3">
        <f t="shared" si="9"/>
        <v>47655037.159062997</v>
      </c>
    </row>
    <row r="98" spans="1:9" x14ac:dyDescent="0.3">
      <c r="A98" t="s">
        <v>131</v>
      </c>
      <c r="B98" t="s">
        <v>217</v>
      </c>
      <c r="C98">
        <v>28.970306396484375</v>
      </c>
      <c r="D98">
        <v>28.965267181396484</v>
      </c>
      <c r="E98">
        <v>7.1251774206757545E-3</v>
      </c>
      <c r="F98">
        <f t="shared" si="6"/>
        <v>5.5114306152484218</v>
      </c>
      <c r="G98">
        <f t="shared" si="7"/>
        <v>324661.36872957164</v>
      </c>
      <c r="H98">
        <f>G98/10</f>
        <v>32466.136872957162</v>
      </c>
      <c r="I98" s="3">
        <f t="shared" si="9"/>
        <v>3246613.6872957163</v>
      </c>
    </row>
    <row r="99" spans="1:9" x14ac:dyDescent="0.3">
      <c r="A99" t="s">
        <v>133</v>
      </c>
      <c r="B99" t="s">
        <v>217</v>
      </c>
      <c r="C99">
        <v>28.960229873657227</v>
      </c>
      <c r="D99">
        <v>28.965267181396484</v>
      </c>
      <c r="E99">
        <v>7.1251774206757545E-3</v>
      </c>
      <c r="F99">
        <f t="shared" si="6"/>
        <v>5.5114306152484218</v>
      </c>
      <c r="G99">
        <f t="shared" si="7"/>
        <v>324661.36872957164</v>
      </c>
      <c r="H99">
        <f>G99/10</f>
        <v>32466.136872957162</v>
      </c>
      <c r="I99" s="3">
        <f t="shared" si="9"/>
        <v>3246613.6872957163</v>
      </c>
    </row>
    <row r="100" spans="1:9" x14ac:dyDescent="0.3">
      <c r="A100" t="s">
        <v>134</v>
      </c>
      <c r="B100" t="s">
        <v>218</v>
      </c>
      <c r="C100">
        <v>23.973114013671875</v>
      </c>
      <c r="D100">
        <v>23.974838256835938</v>
      </c>
      <c r="E100">
        <v>2.4384481366723776E-3</v>
      </c>
      <c r="F100">
        <f t="shared" si="6"/>
        <v>6.9471121240402933</v>
      </c>
      <c r="G100">
        <f t="shared" si="7"/>
        <v>8853441.5418160297</v>
      </c>
      <c r="H100">
        <f t="shared" si="8"/>
        <v>1770688.308363206</v>
      </c>
      <c r="I100" s="3">
        <f t="shared" si="9"/>
        <v>177068830.83632061</v>
      </c>
    </row>
    <row r="101" spans="1:9" x14ac:dyDescent="0.3">
      <c r="A101" t="s">
        <v>136</v>
      </c>
      <c r="B101" t="s">
        <v>218</v>
      </c>
      <c r="C101">
        <v>23.9765625</v>
      </c>
      <c r="D101">
        <v>23.974838256835938</v>
      </c>
      <c r="E101">
        <v>2.4384481366723776E-3</v>
      </c>
      <c r="F101">
        <f t="shared" si="6"/>
        <v>6.9471121240402933</v>
      </c>
      <c r="G101">
        <f t="shared" si="7"/>
        <v>8853441.5418160297</v>
      </c>
      <c r="H101">
        <f t="shared" si="8"/>
        <v>1770688.308363206</v>
      </c>
      <c r="I101" s="3">
        <f t="shared" si="9"/>
        <v>177068830.83632061</v>
      </c>
    </row>
    <row r="102" spans="1:9" x14ac:dyDescent="0.3">
      <c r="A102" t="s">
        <v>137</v>
      </c>
      <c r="B102" t="s">
        <v>219</v>
      </c>
      <c r="C102">
        <v>26.319618225097656</v>
      </c>
      <c r="D102">
        <v>26.378807067871094</v>
      </c>
      <c r="E102">
        <v>8.3707012236118317E-2</v>
      </c>
      <c r="F102">
        <f t="shared" si="6"/>
        <v>6.2555215569991089</v>
      </c>
      <c r="G102">
        <f t="shared" si="7"/>
        <v>1801032.52975939</v>
      </c>
      <c r="H102">
        <f>G102/10</f>
        <v>180103.25297593902</v>
      </c>
      <c r="I102" s="3">
        <f t="shared" si="9"/>
        <v>18010325.297593903</v>
      </c>
    </row>
    <row r="103" spans="1:9" x14ac:dyDescent="0.3">
      <c r="A103" t="s">
        <v>139</v>
      </c>
      <c r="B103" t="s">
        <v>219</v>
      </c>
      <c r="C103">
        <v>26.437997817993164</v>
      </c>
      <c r="D103">
        <v>26.378807067871094</v>
      </c>
      <c r="E103">
        <v>8.3707012236118317E-2</v>
      </c>
      <c r="F103">
        <f t="shared" si="6"/>
        <v>6.2555215569991089</v>
      </c>
      <c r="G103">
        <f t="shared" si="7"/>
        <v>1801032.52975939</v>
      </c>
      <c r="H103">
        <f>G103/10</f>
        <v>180103.25297593902</v>
      </c>
      <c r="I103" s="3">
        <f t="shared" si="9"/>
        <v>18010325.297593903</v>
      </c>
    </row>
    <row r="104" spans="1:9" x14ac:dyDescent="0.3">
      <c r="A104" t="s">
        <v>140</v>
      </c>
      <c r="B104" t="s">
        <v>38</v>
      </c>
      <c r="C104" t="s">
        <v>38</v>
      </c>
      <c r="D104" t="s">
        <v>38</v>
      </c>
      <c r="E104" t="s">
        <v>38</v>
      </c>
      <c r="F104" t="e">
        <f t="shared" si="6"/>
        <v>#VALUE!</v>
      </c>
      <c r="G104" t="e">
        <f t="shared" si="7"/>
        <v>#VALUE!</v>
      </c>
      <c r="H104" t="e">
        <f t="shared" si="8"/>
        <v>#VALUE!</v>
      </c>
      <c r="I104" s="3" t="e">
        <f t="shared" si="9"/>
        <v>#VALUE!</v>
      </c>
    </row>
    <row r="105" spans="1:9" x14ac:dyDescent="0.3">
      <c r="A105" s="8" t="s">
        <v>141</v>
      </c>
      <c r="B105" s="8" t="s">
        <v>38</v>
      </c>
      <c r="C105" s="8" t="s">
        <v>142</v>
      </c>
      <c r="D105" s="8" t="s">
        <v>38</v>
      </c>
      <c r="E105" s="8" t="s">
        <v>38</v>
      </c>
      <c r="F105" t="e">
        <f t="shared" si="6"/>
        <v>#VALUE!</v>
      </c>
      <c r="G105" t="e">
        <f t="shared" si="7"/>
        <v>#VALUE!</v>
      </c>
      <c r="H105" t="e">
        <f t="shared" si="8"/>
        <v>#VALUE!</v>
      </c>
      <c r="I105" s="3" t="e">
        <f t="shared" si="9"/>
        <v>#VALUE!</v>
      </c>
    </row>
    <row r="106" spans="1:9" x14ac:dyDescent="0.3">
      <c r="A106" s="8" t="s">
        <v>143</v>
      </c>
      <c r="B106" s="8" t="s">
        <v>38</v>
      </c>
      <c r="C106" s="8" t="s">
        <v>142</v>
      </c>
      <c r="D106" s="8" t="s">
        <v>38</v>
      </c>
      <c r="E106" s="8" t="s">
        <v>38</v>
      </c>
      <c r="F106" t="e">
        <f t="shared" si="6"/>
        <v>#VALUE!</v>
      </c>
      <c r="G106" t="e">
        <f t="shared" si="7"/>
        <v>#VALUE!</v>
      </c>
      <c r="H106" t="e">
        <f t="shared" si="8"/>
        <v>#VALUE!</v>
      </c>
      <c r="I106" s="3" t="e">
        <f t="shared" si="9"/>
        <v>#VALUE!</v>
      </c>
    </row>
    <row r="107" spans="1:9" x14ac:dyDescent="0.3">
      <c r="A107" s="8" t="s">
        <v>144</v>
      </c>
      <c r="B107" s="8" t="s">
        <v>38</v>
      </c>
      <c r="C107" s="8" t="s">
        <v>142</v>
      </c>
      <c r="D107" s="8" t="s">
        <v>38</v>
      </c>
      <c r="E107" s="8" t="s">
        <v>38</v>
      </c>
      <c r="F107" t="e">
        <f t="shared" si="6"/>
        <v>#VALUE!</v>
      </c>
      <c r="G107" t="e">
        <f t="shared" si="7"/>
        <v>#VALUE!</v>
      </c>
      <c r="H107" t="e">
        <f t="shared" si="8"/>
        <v>#VALUE!</v>
      </c>
      <c r="I107" s="3" t="e">
        <f t="shared" si="9"/>
        <v>#VALUE!</v>
      </c>
    </row>
    <row r="108" spans="1:9" x14ac:dyDescent="0.3">
      <c r="A108" t="s">
        <v>145</v>
      </c>
      <c r="B108" t="s">
        <v>220</v>
      </c>
      <c r="C108">
        <v>27.053730010986328</v>
      </c>
      <c r="D108">
        <v>27.063470840454102</v>
      </c>
      <c r="E108">
        <v>1.3775613158941269E-2</v>
      </c>
      <c r="F108">
        <f t="shared" si="6"/>
        <v>6.0585526926196476</v>
      </c>
      <c r="G108">
        <f t="shared" si="7"/>
        <v>1144333.7125348155</v>
      </c>
      <c r="H108">
        <f t="shared" si="8"/>
        <v>228866.74250696311</v>
      </c>
      <c r="I108" s="3">
        <f t="shared" si="9"/>
        <v>22886674.250696313</v>
      </c>
    </row>
    <row r="109" spans="1:9" x14ac:dyDescent="0.3">
      <c r="A109" t="s">
        <v>147</v>
      </c>
      <c r="B109" t="s">
        <v>220</v>
      </c>
      <c r="C109">
        <v>27.073211669921875</v>
      </c>
      <c r="D109">
        <v>27.063470840454102</v>
      </c>
      <c r="E109">
        <v>1.3775613158941269E-2</v>
      </c>
      <c r="F109">
        <f t="shared" si="6"/>
        <v>6.0585526926196476</v>
      </c>
      <c r="G109">
        <f t="shared" si="7"/>
        <v>1144333.7125348155</v>
      </c>
      <c r="H109">
        <f t="shared" si="8"/>
        <v>228866.74250696311</v>
      </c>
      <c r="I109" s="3">
        <f t="shared" si="9"/>
        <v>22886674.250696313</v>
      </c>
    </row>
    <row r="110" spans="1:9" x14ac:dyDescent="0.3">
      <c r="A110" t="s">
        <v>148</v>
      </c>
      <c r="B110" t="s">
        <v>221</v>
      </c>
      <c r="C110">
        <v>28.958158493041992</v>
      </c>
      <c r="D110">
        <v>28.923370361328125</v>
      </c>
      <c r="E110">
        <v>4.919784888625145E-2</v>
      </c>
      <c r="F110">
        <f t="shared" si="6"/>
        <v>5.5234837855787893</v>
      </c>
      <c r="G110">
        <f t="shared" si="7"/>
        <v>333798.04255519662</v>
      </c>
      <c r="H110">
        <f>G110/10</f>
        <v>33379.804255519659</v>
      </c>
      <c r="I110" s="3">
        <f t="shared" si="9"/>
        <v>3337980.4255519658</v>
      </c>
    </row>
    <row r="111" spans="1:9" x14ac:dyDescent="0.3">
      <c r="A111" t="s">
        <v>150</v>
      </c>
      <c r="B111" t="s">
        <v>221</v>
      </c>
      <c r="C111">
        <v>28.888582229614258</v>
      </c>
      <c r="D111">
        <v>28.923370361328125</v>
      </c>
      <c r="E111">
        <v>4.919784888625145E-2</v>
      </c>
      <c r="F111">
        <f t="shared" si="6"/>
        <v>5.5234837855787893</v>
      </c>
      <c r="G111">
        <f t="shared" si="7"/>
        <v>333798.04255519662</v>
      </c>
      <c r="H111">
        <f>G111/10</f>
        <v>33379.804255519659</v>
      </c>
      <c r="I111" s="3">
        <f t="shared" si="9"/>
        <v>3337980.4255519658</v>
      </c>
    </row>
    <row r="112" spans="1:9" x14ac:dyDescent="0.3">
      <c r="A112" t="s">
        <v>151</v>
      </c>
      <c r="B112" t="s">
        <v>222</v>
      </c>
      <c r="C112">
        <v>23.78843879699707</v>
      </c>
      <c r="D112">
        <v>23.783496856689453</v>
      </c>
      <c r="E112">
        <v>6.9903074763715267E-3</v>
      </c>
      <c r="F112">
        <f t="shared" si="6"/>
        <v>7.0021585567636784</v>
      </c>
      <c r="G112">
        <f t="shared" si="7"/>
        <v>10049826.328610277</v>
      </c>
      <c r="H112">
        <f t="shared" si="8"/>
        <v>2009965.2657220555</v>
      </c>
      <c r="I112" s="3">
        <f t="shared" si="9"/>
        <v>200996526.57220554</v>
      </c>
    </row>
    <row r="113" spans="1:9" x14ac:dyDescent="0.3">
      <c r="A113" t="s">
        <v>153</v>
      </c>
      <c r="B113" t="s">
        <v>222</v>
      </c>
      <c r="C113">
        <v>23.778553009033203</v>
      </c>
      <c r="D113">
        <v>23.783496856689453</v>
      </c>
      <c r="E113">
        <v>6.9903074763715267E-3</v>
      </c>
      <c r="F113">
        <f t="shared" si="6"/>
        <v>7.0021585567636784</v>
      </c>
      <c r="G113">
        <f t="shared" si="7"/>
        <v>10049826.328610277</v>
      </c>
      <c r="H113">
        <f t="shared" si="8"/>
        <v>2009965.2657220555</v>
      </c>
      <c r="I113" s="3">
        <f t="shared" si="9"/>
        <v>200996526.57220554</v>
      </c>
    </row>
    <row r="114" spans="1:9" x14ac:dyDescent="0.3">
      <c r="A114" s="8" t="s">
        <v>154</v>
      </c>
      <c r="B114" s="8" t="s">
        <v>223</v>
      </c>
      <c r="C114" s="8" t="s">
        <v>142</v>
      </c>
      <c r="D114" s="8" t="s">
        <v>38</v>
      </c>
      <c r="E114" s="8" t="s">
        <v>38</v>
      </c>
      <c r="F114" t="e">
        <f t="shared" si="6"/>
        <v>#VALUE!</v>
      </c>
      <c r="G114" t="e">
        <f t="shared" si="7"/>
        <v>#VALUE!</v>
      </c>
      <c r="H114" t="e">
        <f t="shared" si="8"/>
        <v>#VALUE!</v>
      </c>
      <c r="I114" s="3" t="e">
        <f t="shared" si="9"/>
        <v>#VALUE!</v>
      </c>
    </row>
    <row r="115" spans="1:9" x14ac:dyDescent="0.3">
      <c r="A115" s="8" t="s">
        <v>156</v>
      </c>
      <c r="B115" s="8" t="s">
        <v>223</v>
      </c>
      <c r="C115" s="8" t="s">
        <v>142</v>
      </c>
      <c r="D115" s="8" t="s">
        <v>38</v>
      </c>
      <c r="E115" s="8" t="s">
        <v>38</v>
      </c>
      <c r="F115" t="e">
        <f t="shared" si="6"/>
        <v>#VALUE!</v>
      </c>
      <c r="G115" t="e">
        <f t="shared" si="7"/>
        <v>#VALUE!</v>
      </c>
      <c r="H115" t="e">
        <f t="shared" si="8"/>
        <v>#VALUE!</v>
      </c>
      <c r="I115" s="3" t="e">
        <f t="shared" si="9"/>
        <v>#VALUE!</v>
      </c>
    </row>
    <row r="116" spans="1:9" x14ac:dyDescent="0.3">
      <c r="A116" t="s">
        <v>157</v>
      </c>
      <c r="B116" t="s">
        <v>38</v>
      </c>
      <c r="C116" t="s">
        <v>38</v>
      </c>
      <c r="D116" t="s">
        <v>38</v>
      </c>
      <c r="E116" t="s">
        <v>38</v>
      </c>
      <c r="F116" t="e">
        <f t="shared" si="6"/>
        <v>#VALUE!</v>
      </c>
      <c r="G116" t="e">
        <f t="shared" si="7"/>
        <v>#VALUE!</v>
      </c>
      <c r="H116" t="e">
        <f t="shared" si="8"/>
        <v>#VALUE!</v>
      </c>
      <c r="I116" s="3" t="e">
        <f t="shared" si="9"/>
        <v>#VALUE!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5BE80-C954-4A5D-83AE-63BA23821545}">
  <dimension ref="A1:I123"/>
  <sheetViews>
    <sheetView workbookViewId="0">
      <selection activeCell="B14" sqref="B14"/>
    </sheetView>
  </sheetViews>
  <sheetFormatPr defaultColWidth="11.5546875" defaultRowHeight="14.4" x14ac:dyDescent="0.3"/>
  <cols>
    <col min="7" max="7" width="11.109375" bestFit="1" customWidth="1"/>
    <col min="9" max="9" width="12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1000</v>
      </c>
      <c r="B2">
        <v>5000</v>
      </c>
      <c r="C2">
        <f>B2*(0.000000000001)*(1/$B$12)*6.022E+23</f>
        <v>1061482055.9825144</v>
      </c>
      <c r="D2">
        <f>LOG10(C2)</f>
        <v>9.025912656953599</v>
      </c>
      <c r="E2" s="1">
        <v>14.838165283203125</v>
      </c>
      <c r="F2">
        <v>9.4646115274323197</v>
      </c>
    </row>
    <row r="3" spans="1:6" x14ac:dyDescent="0.3">
      <c r="A3">
        <v>100</v>
      </c>
      <c r="B3">
        <v>500</v>
      </c>
      <c r="C3">
        <f t="shared" ref="C3:C8" si="0">B3*(0.000000000001)*(1/$B$12)*6.022E+23</f>
        <v>106148205.59825145</v>
      </c>
      <c r="D3">
        <f t="shared" ref="D3:D8" si="1">LOG10(C3)</f>
        <v>8.025912656953599</v>
      </c>
      <c r="E3" s="1">
        <v>20.001506805419922</v>
      </c>
      <c r="F3">
        <v>8.0316635291483021</v>
      </c>
    </row>
    <row r="4" spans="1:6" x14ac:dyDescent="0.3">
      <c r="A4">
        <v>10</v>
      </c>
      <c r="B4">
        <v>50</v>
      </c>
      <c r="C4">
        <f t="shared" si="0"/>
        <v>10614820.559825143</v>
      </c>
      <c r="D4">
        <f t="shared" si="1"/>
        <v>7.0259126569535999</v>
      </c>
      <c r="E4" s="1">
        <v>23.676137924194336</v>
      </c>
      <c r="F4">
        <v>7.0118674758709139</v>
      </c>
    </row>
    <row r="5" spans="1:6" x14ac:dyDescent="0.3">
      <c r="A5">
        <v>1</v>
      </c>
      <c r="B5">
        <v>5</v>
      </c>
      <c r="C5">
        <f t="shared" si="0"/>
        <v>1061482.0559825143</v>
      </c>
      <c r="D5">
        <f t="shared" si="1"/>
        <v>6.0259126569535999</v>
      </c>
      <c r="E5" s="1">
        <v>27.231184005737305</v>
      </c>
      <c r="F5">
        <v>6.0252590664842494</v>
      </c>
    </row>
    <row r="6" spans="1:6" x14ac:dyDescent="0.3">
      <c r="A6">
        <v>0.1</v>
      </c>
      <c r="B6">
        <v>0.5</v>
      </c>
      <c r="C6">
        <f t="shared" si="0"/>
        <v>106148.20559825143</v>
      </c>
      <c r="D6">
        <f t="shared" si="1"/>
        <v>5.0259126569535999</v>
      </c>
      <c r="E6" s="1">
        <v>30.763526916503906</v>
      </c>
      <c r="F6">
        <v>5.0449513178186924</v>
      </c>
    </row>
    <row r="7" spans="1:6" x14ac:dyDescent="0.3">
      <c r="A7">
        <v>0.01</v>
      </c>
      <c r="B7">
        <v>0.05</v>
      </c>
      <c r="C7">
        <f t="shared" si="0"/>
        <v>10614.820559825144</v>
      </c>
      <c r="D7">
        <f t="shared" si="1"/>
        <v>4.0259126569535999</v>
      </c>
      <c r="E7" s="1">
        <v>34.474178314208984</v>
      </c>
      <c r="F7">
        <v>4.0151587949354806</v>
      </c>
    </row>
    <row r="8" spans="1:6" x14ac:dyDescent="0.3">
      <c r="A8">
        <v>1E-3</v>
      </c>
      <c r="B8">
        <v>5.0000000000000001E-3</v>
      </c>
      <c r="C8">
        <f t="shared" si="0"/>
        <v>1061.4820559825143</v>
      </c>
      <c r="D8">
        <f t="shared" si="1"/>
        <v>3.0259126569535995</v>
      </c>
      <c r="E8" s="1">
        <v>37.321903228759766</v>
      </c>
      <c r="F8">
        <v>3.2248485475092927</v>
      </c>
    </row>
    <row r="10" spans="1:6" x14ac:dyDescent="0.3">
      <c r="A10" t="s">
        <v>6</v>
      </c>
      <c r="B10">
        <v>4364</v>
      </c>
    </row>
    <row r="11" spans="1:6" x14ac:dyDescent="0.3">
      <c r="A11" t="s">
        <v>7</v>
      </c>
      <c r="B11">
        <v>650</v>
      </c>
    </row>
    <row r="12" spans="1:6" x14ac:dyDescent="0.3">
      <c r="A12" t="s">
        <v>8</v>
      </c>
      <c r="B12">
        <v>2836600</v>
      </c>
    </row>
    <row r="14" spans="1:6" x14ac:dyDescent="0.3">
      <c r="A14" t="s">
        <v>9</v>
      </c>
      <c r="B14">
        <v>1027</v>
      </c>
    </row>
    <row r="15" spans="1:6" x14ac:dyDescent="0.3">
      <c r="A15" t="s">
        <v>10</v>
      </c>
      <c r="B15">
        <v>3337</v>
      </c>
    </row>
    <row r="27" spans="1:9" x14ac:dyDescent="0.3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 t="s">
        <v>191</v>
      </c>
      <c r="I27" t="s">
        <v>18</v>
      </c>
    </row>
    <row r="28" spans="1:9" x14ac:dyDescent="0.3">
      <c r="A28" s="1" t="s">
        <v>21</v>
      </c>
      <c r="B28" s="1" t="s">
        <v>158</v>
      </c>
      <c r="C28" s="1">
        <v>14.75897216796875</v>
      </c>
      <c r="D28" s="1">
        <v>14.838165283203125</v>
      </c>
      <c r="E28" s="1">
        <v>0.11199598014354706</v>
      </c>
      <c r="F28" s="1">
        <f>(D28-48.942)/-3.6033</f>
        <v>9.4646115274323197</v>
      </c>
      <c r="G28" s="1">
        <f>10^F28</f>
        <v>2914818568.1654692</v>
      </c>
      <c r="H28" s="1">
        <f>G28/5</f>
        <v>582963713.63309383</v>
      </c>
      <c r="I28" s="2">
        <v>582963713.63309383</v>
      </c>
    </row>
    <row r="29" spans="1:9" x14ac:dyDescent="0.3">
      <c r="A29" s="1" t="s">
        <v>23</v>
      </c>
      <c r="B29" s="1" t="s">
        <v>158</v>
      </c>
      <c r="C29" s="1">
        <v>14.9173583984375</v>
      </c>
      <c r="D29" s="1">
        <v>14.838165283203125</v>
      </c>
      <c r="E29" s="1">
        <v>0.11199598014354706</v>
      </c>
      <c r="F29" s="1">
        <f t="shared" ref="F29:F92" si="2">(D29-48.942)/-3.6033</f>
        <v>9.4646115274323197</v>
      </c>
      <c r="G29" s="1">
        <f t="shared" ref="G29:G92" si="3">10^F29</f>
        <v>2914818568.1654692</v>
      </c>
      <c r="H29" s="1">
        <f t="shared" ref="H29:H92" si="4">G29/5</f>
        <v>582963713.63309383</v>
      </c>
      <c r="I29" s="2">
        <v>582963713.63309383</v>
      </c>
    </row>
    <row r="30" spans="1:9" x14ac:dyDescent="0.3">
      <c r="A30" t="s">
        <v>24</v>
      </c>
      <c r="B30" t="s">
        <v>90</v>
      </c>
      <c r="C30">
        <v>26.048171997070313</v>
      </c>
      <c r="D30">
        <v>26.058864593505859</v>
      </c>
      <c r="E30">
        <v>1.5121614560484886E-2</v>
      </c>
      <c r="F30">
        <f t="shared" si="2"/>
        <v>6.3506051137829607</v>
      </c>
      <c r="G30">
        <f t="shared" si="3"/>
        <v>2241842.5809726063</v>
      </c>
      <c r="H30">
        <f t="shared" si="4"/>
        <v>448368.51619452127</v>
      </c>
      <c r="I30" s="3">
        <f t="shared" ref="I30:I93" si="5">H30*100</f>
        <v>44836851.619452126</v>
      </c>
    </row>
    <row r="31" spans="1:9" x14ac:dyDescent="0.3">
      <c r="A31" t="s">
        <v>25</v>
      </c>
      <c r="B31" t="s">
        <v>90</v>
      </c>
      <c r="C31">
        <v>26.069557189941406</v>
      </c>
      <c r="D31">
        <v>26.058864593505859</v>
      </c>
      <c r="E31">
        <v>1.5121614560484886E-2</v>
      </c>
      <c r="F31">
        <f t="shared" si="2"/>
        <v>6.3506051137829607</v>
      </c>
      <c r="G31">
        <f t="shared" si="3"/>
        <v>2241842.5809726063</v>
      </c>
      <c r="H31">
        <f t="shared" si="4"/>
        <v>448368.51619452127</v>
      </c>
      <c r="I31" s="3">
        <f t="shared" si="5"/>
        <v>44836851.619452126</v>
      </c>
    </row>
    <row r="32" spans="1:9" x14ac:dyDescent="0.3">
      <c r="A32" t="s">
        <v>27</v>
      </c>
      <c r="B32" t="s">
        <v>24</v>
      </c>
      <c r="C32">
        <v>24.818262100219727</v>
      </c>
      <c r="D32">
        <v>24.824176788330078</v>
      </c>
      <c r="E32">
        <v>8.3646317943930626E-3</v>
      </c>
      <c r="F32">
        <f t="shared" si="2"/>
        <v>6.6932598483806292</v>
      </c>
      <c r="G32">
        <f t="shared" si="3"/>
        <v>4934689.6948198276</v>
      </c>
      <c r="H32">
        <f t="shared" si="4"/>
        <v>986937.93896396551</v>
      </c>
      <c r="I32" s="3">
        <f t="shared" si="5"/>
        <v>98693793.896396548</v>
      </c>
    </row>
    <row r="33" spans="1:9" x14ac:dyDescent="0.3">
      <c r="A33" t="s">
        <v>28</v>
      </c>
      <c r="B33" t="s">
        <v>24</v>
      </c>
      <c r="C33">
        <v>24.83009147644043</v>
      </c>
      <c r="D33">
        <v>24.824176788330078</v>
      </c>
      <c r="E33">
        <v>8.3646317943930626E-3</v>
      </c>
      <c r="F33">
        <f t="shared" si="2"/>
        <v>6.6932598483806292</v>
      </c>
      <c r="G33">
        <f t="shared" si="3"/>
        <v>4934689.6948198276</v>
      </c>
      <c r="H33">
        <f t="shared" si="4"/>
        <v>986937.93896396551</v>
      </c>
      <c r="I33" s="3">
        <f t="shared" si="5"/>
        <v>98693793.896396548</v>
      </c>
    </row>
    <row r="34" spans="1:9" x14ac:dyDescent="0.3">
      <c r="A34" t="s">
        <v>30</v>
      </c>
      <c r="B34" t="s">
        <v>25</v>
      </c>
      <c r="C34">
        <v>23.752607345581055</v>
      </c>
      <c r="D34">
        <v>23.749301910400391</v>
      </c>
      <c r="E34">
        <v>4.6759401448071003E-3</v>
      </c>
      <c r="F34">
        <f t="shared" si="2"/>
        <v>6.9915627590263396</v>
      </c>
      <c r="G34">
        <f t="shared" si="3"/>
        <v>9807600.3175127339</v>
      </c>
      <c r="H34">
        <f t="shared" si="4"/>
        <v>1961520.0635025469</v>
      </c>
      <c r="I34" s="3">
        <f t="shared" si="5"/>
        <v>196152006.35025468</v>
      </c>
    </row>
    <row r="35" spans="1:9" x14ac:dyDescent="0.3">
      <c r="A35" t="s">
        <v>31</v>
      </c>
      <c r="B35" t="s">
        <v>25</v>
      </c>
      <c r="C35">
        <v>23.745994567871094</v>
      </c>
      <c r="D35">
        <v>23.749301910400391</v>
      </c>
      <c r="E35">
        <v>4.6759401448071003E-3</v>
      </c>
      <c r="F35">
        <f t="shared" si="2"/>
        <v>6.9915627590263396</v>
      </c>
      <c r="G35">
        <f t="shared" si="3"/>
        <v>9807600.3175127339</v>
      </c>
      <c r="H35">
        <f t="shared" si="4"/>
        <v>1961520.0635025469</v>
      </c>
      <c r="I35" s="3">
        <f t="shared" si="5"/>
        <v>196152006.35025468</v>
      </c>
    </row>
    <row r="36" spans="1:9" x14ac:dyDescent="0.3">
      <c r="A36" t="s">
        <v>33</v>
      </c>
      <c r="B36" t="s">
        <v>97</v>
      </c>
      <c r="C36">
        <v>22.818454742431641</v>
      </c>
      <c r="D36">
        <v>22.801677703857422</v>
      </c>
      <c r="E36">
        <v>2.3727664723992348E-2</v>
      </c>
      <c r="F36">
        <f t="shared" si="2"/>
        <v>7.2545506330704015</v>
      </c>
      <c r="G36">
        <f t="shared" si="3"/>
        <v>17970105.75948792</v>
      </c>
      <c r="H36">
        <f t="shared" si="4"/>
        <v>3594021.1518975841</v>
      </c>
      <c r="I36" s="3">
        <f t="shared" si="5"/>
        <v>359402115.18975842</v>
      </c>
    </row>
    <row r="37" spans="1:9" x14ac:dyDescent="0.3">
      <c r="A37" t="s">
        <v>34</v>
      </c>
      <c r="B37" t="s">
        <v>97</v>
      </c>
      <c r="C37">
        <v>22.78489875793457</v>
      </c>
      <c r="D37">
        <v>22.801677703857422</v>
      </c>
      <c r="E37">
        <v>2.3727664723992348E-2</v>
      </c>
      <c r="F37">
        <f t="shared" si="2"/>
        <v>7.2545506330704015</v>
      </c>
      <c r="G37">
        <f t="shared" si="3"/>
        <v>17970105.75948792</v>
      </c>
      <c r="H37">
        <f t="shared" si="4"/>
        <v>3594021.1518975841</v>
      </c>
      <c r="I37" s="3">
        <f t="shared" si="5"/>
        <v>359402115.18975842</v>
      </c>
    </row>
    <row r="38" spans="1:9" x14ac:dyDescent="0.3">
      <c r="A38" t="s">
        <v>36</v>
      </c>
      <c r="B38" t="s">
        <v>31</v>
      </c>
      <c r="C38">
        <v>22.543678283691406</v>
      </c>
      <c r="D38">
        <v>22.550876617431641</v>
      </c>
      <c r="E38">
        <v>1.0178632102906704E-2</v>
      </c>
      <c r="F38">
        <f t="shared" si="2"/>
        <v>7.3241537986202534</v>
      </c>
      <c r="G38">
        <f t="shared" si="3"/>
        <v>21093750.199581314</v>
      </c>
      <c r="H38">
        <f t="shared" si="4"/>
        <v>4218750.039916263</v>
      </c>
      <c r="I38" s="3">
        <f t="shared" si="5"/>
        <v>421875003.99162632</v>
      </c>
    </row>
    <row r="39" spans="1:9" x14ac:dyDescent="0.3">
      <c r="A39" t="s">
        <v>37</v>
      </c>
      <c r="B39" t="s">
        <v>31</v>
      </c>
      <c r="C39">
        <v>22.558073043823242</v>
      </c>
      <c r="D39">
        <v>22.550876617431641</v>
      </c>
      <c r="E39">
        <v>1.0178632102906704E-2</v>
      </c>
      <c r="F39">
        <f t="shared" si="2"/>
        <v>7.3241537986202534</v>
      </c>
      <c r="G39">
        <f t="shared" si="3"/>
        <v>21093750.199581314</v>
      </c>
      <c r="H39">
        <f t="shared" si="4"/>
        <v>4218750.039916263</v>
      </c>
      <c r="I39" s="3">
        <f t="shared" si="5"/>
        <v>421875003.99162632</v>
      </c>
    </row>
    <row r="40" spans="1:9" x14ac:dyDescent="0.3">
      <c r="A40" s="1" t="s">
        <v>39</v>
      </c>
      <c r="B40" s="1" t="s">
        <v>22</v>
      </c>
      <c r="C40" s="1">
        <v>19.976594924926758</v>
      </c>
      <c r="D40" s="1">
        <v>20.001506805419922</v>
      </c>
      <c r="E40" s="1">
        <v>3.5230718553066254E-2</v>
      </c>
      <c r="F40" s="1">
        <f t="shared" si="2"/>
        <v>8.0316635291483021</v>
      </c>
      <c r="G40" s="1">
        <f t="shared" si="3"/>
        <v>107563154.22129425</v>
      </c>
      <c r="H40" s="1">
        <f t="shared" si="4"/>
        <v>21512630.844258852</v>
      </c>
      <c r="I40" s="2">
        <v>21512630.844258852</v>
      </c>
    </row>
    <row r="41" spans="1:9" x14ac:dyDescent="0.3">
      <c r="A41" s="1" t="s">
        <v>41</v>
      </c>
      <c r="B41" s="1" t="s">
        <v>22</v>
      </c>
      <c r="C41" s="1">
        <v>20.026418685913086</v>
      </c>
      <c r="D41" s="1">
        <v>20.001506805419922</v>
      </c>
      <c r="E41" s="1">
        <v>3.5230718553066254E-2</v>
      </c>
      <c r="F41" s="1">
        <f t="shared" si="2"/>
        <v>8.0316635291483021</v>
      </c>
      <c r="G41" s="1">
        <f t="shared" si="3"/>
        <v>107563154.22129425</v>
      </c>
      <c r="H41" s="1">
        <f t="shared" si="4"/>
        <v>21512630.844258852</v>
      </c>
      <c r="I41" s="2">
        <v>21512630.844258852</v>
      </c>
    </row>
    <row r="42" spans="1:9" x14ac:dyDescent="0.3">
      <c r="A42" t="s">
        <v>42</v>
      </c>
      <c r="B42" t="s">
        <v>92</v>
      </c>
      <c r="C42">
        <v>23.766506195068359</v>
      </c>
      <c r="D42">
        <v>23.743885040283203</v>
      </c>
      <c r="E42">
        <v>3.1992491334676743E-2</v>
      </c>
      <c r="F42">
        <f t="shared" si="2"/>
        <v>6.9930660671375673</v>
      </c>
      <c r="G42">
        <f t="shared" si="3"/>
        <v>9841608.1004001312</v>
      </c>
      <c r="H42">
        <f t="shared" si="4"/>
        <v>1968321.6200800263</v>
      </c>
      <c r="I42" s="3">
        <f t="shared" si="5"/>
        <v>196832162.00800264</v>
      </c>
    </row>
    <row r="43" spans="1:9" x14ac:dyDescent="0.3">
      <c r="A43" t="s">
        <v>43</v>
      </c>
      <c r="B43" t="s">
        <v>92</v>
      </c>
      <c r="C43">
        <v>23.721261978149414</v>
      </c>
      <c r="D43">
        <v>23.743885040283203</v>
      </c>
      <c r="E43">
        <v>3.1992491334676743E-2</v>
      </c>
      <c r="F43">
        <f t="shared" si="2"/>
        <v>6.9930660671375673</v>
      </c>
      <c r="G43">
        <f t="shared" si="3"/>
        <v>9841608.1004001312</v>
      </c>
      <c r="H43">
        <f t="shared" si="4"/>
        <v>1968321.6200800263</v>
      </c>
      <c r="I43" s="3">
        <f t="shared" si="5"/>
        <v>196832162.00800264</v>
      </c>
    </row>
    <row r="44" spans="1:9" x14ac:dyDescent="0.3">
      <c r="A44" t="s">
        <v>45</v>
      </c>
      <c r="B44" t="s">
        <v>42</v>
      </c>
      <c r="C44">
        <v>23.609907150268555</v>
      </c>
      <c r="D44">
        <v>23.570295333862305</v>
      </c>
      <c r="E44">
        <v>5.601956695318222E-2</v>
      </c>
      <c r="F44">
        <f t="shared" si="2"/>
        <v>7.0412412694301603</v>
      </c>
      <c r="G44">
        <f t="shared" si="3"/>
        <v>10996165.544894485</v>
      </c>
      <c r="H44">
        <f t="shared" si="4"/>
        <v>2199233.1089788969</v>
      </c>
      <c r="I44" s="3">
        <f t="shared" si="5"/>
        <v>219923310.89788967</v>
      </c>
    </row>
    <row r="45" spans="1:9" x14ac:dyDescent="0.3">
      <c r="A45" t="s">
        <v>46</v>
      </c>
      <c r="B45" t="s">
        <v>42</v>
      </c>
      <c r="C45">
        <v>23.530683517456055</v>
      </c>
      <c r="D45">
        <v>23.570295333862305</v>
      </c>
      <c r="E45">
        <v>5.601956695318222E-2</v>
      </c>
      <c r="F45">
        <f t="shared" si="2"/>
        <v>7.0412412694301603</v>
      </c>
      <c r="G45">
        <f t="shared" si="3"/>
        <v>10996165.544894485</v>
      </c>
      <c r="H45">
        <f t="shared" si="4"/>
        <v>2199233.1089788969</v>
      </c>
      <c r="I45" s="3">
        <f t="shared" si="5"/>
        <v>219923310.89788967</v>
      </c>
    </row>
    <row r="46" spans="1:9" x14ac:dyDescent="0.3">
      <c r="A46" t="s">
        <v>48</v>
      </c>
      <c r="B46" t="s">
        <v>43</v>
      </c>
      <c r="C46">
        <v>23.522146224975586</v>
      </c>
      <c r="D46">
        <v>23.609302520751953</v>
      </c>
      <c r="E46">
        <v>0.12325896322727203</v>
      </c>
      <c r="F46">
        <f t="shared" si="2"/>
        <v>7.0304158630277929</v>
      </c>
      <c r="G46">
        <f t="shared" si="3"/>
        <v>10725458.406788677</v>
      </c>
      <c r="H46">
        <f t="shared" si="4"/>
        <v>2145091.6813577353</v>
      </c>
      <c r="I46" s="3">
        <f t="shared" si="5"/>
        <v>214509168.13577354</v>
      </c>
    </row>
    <row r="47" spans="1:9" x14ac:dyDescent="0.3">
      <c r="A47" t="s">
        <v>49</v>
      </c>
      <c r="B47" t="s">
        <v>43</v>
      </c>
      <c r="C47">
        <v>23.696460723876953</v>
      </c>
      <c r="D47">
        <v>23.609302520751953</v>
      </c>
      <c r="E47">
        <v>0.12325896322727203</v>
      </c>
      <c r="F47">
        <f t="shared" si="2"/>
        <v>7.0304158630277929</v>
      </c>
      <c r="G47">
        <f t="shared" si="3"/>
        <v>10725458.406788677</v>
      </c>
      <c r="H47">
        <f t="shared" si="4"/>
        <v>2145091.6813577353</v>
      </c>
      <c r="I47" s="3">
        <f t="shared" si="5"/>
        <v>214509168.13577354</v>
      </c>
    </row>
    <row r="48" spans="1:9" x14ac:dyDescent="0.3">
      <c r="A48" t="s">
        <v>51</v>
      </c>
      <c r="B48" t="s">
        <v>131</v>
      </c>
      <c r="C48">
        <v>24.309474945068359</v>
      </c>
      <c r="D48">
        <v>24.336696624755859</v>
      </c>
      <c r="E48">
        <v>3.8495920598506927E-2</v>
      </c>
      <c r="F48">
        <f t="shared" si="2"/>
        <v>6.8285469917143011</v>
      </c>
      <c r="G48">
        <f t="shared" si="3"/>
        <v>6738248.0100092785</v>
      </c>
      <c r="H48">
        <f t="shared" si="4"/>
        <v>1347649.6020018556</v>
      </c>
      <c r="I48" s="3">
        <f t="shared" si="5"/>
        <v>134764960.20018557</v>
      </c>
    </row>
    <row r="49" spans="1:9" x14ac:dyDescent="0.3">
      <c r="A49" t="s">
        <v>52</v>
      </c>
      <c r="B49" t="s">
        <v>131</v>
      </c>
      <c r="C49">
        <v>24.363916397094727</v>
      </c>
      <c r="D49">
        <v>24.336696624755859</v>
      </c>
      <c r="E49">
        <v>3.8495920598506927E-2</v>
      </c>
      <c r="F49">
        <f t="shared" si="2"/>
        <v>6.8285469917143011</v>
      </c>
      <c r="G49">
        <f t="shared" si="3"/>
        <v>6738248.0100092785</v>
      </c>
      <c r="H49">
        <f t="shared" si="4"/>
        <v>1347649.6020018556</v>
      </c>
      <c r="I49" s="3">
        <f t="shared" si="5"/>
        <v>134764960.20018557</v>
      </c>
    </row>
    <row r="50" spans="1:9" x14ac:dyDescent="0.3">
      <c r="A50" t="s">
        <v>54</v>
      </c>
      <c r="B50" t="s">
        <v>49</v>
      </c>
      <c r="C50">
        <v>21.853784561157227</v>
      </c>
      <c r="D50">
        <v>21.831518173217773</v>
      </c>
      <c r="E50">
        <v>3.1489428132772446E-2</v>
      </c>
      <c r="F50">
        <f t="shared" si="2"/>
        <v>7.5237925864574775</v>
      </c>
      <c r="G50">
        <f t="shared" si="3"/>
        <v>33403547.08160324</v>
      </c>
      <c r="H50">
        <f t="shared" si="4"/>
        <v>6680709.416320648</v>
      </c>
      <c r="I50" s="3">
        <f t="shared" si="5"/>
        <v>668070941.63206482</v>
      </c>
    </row>
    <row r="51" spans="1:9" x14ac:dyDescent="0.3">
      <c r="A51" t="s">
        <v>55</v>
      </c>
      <c r="B51" t="s">
        <v>49</v>
      </c>
      <c r="C51">
        <v>21.80925178527832</v>
      </c>
      <c r="D51">
        <v>21.831518173217773</v>
      </c>
      <c r="E51">
        <v>3.1489428132772446E-2</v>
      </c>
      <c r="F51">
        <f t="shared" si="2"/>
        <v>7.5237925864574775</v>
      </c>
      <c r="G51">
        <f t="shared" si="3"/>
        <v>33403547.08160324</v>
      </c>
      <c r="H51">
        <f t="shared" si="4"/>
        <v>6680709.416320648</v>
      </c>
      <c r="I51" s="3">
        <f t="shared" si="5"/>
        <v>668070941.63206482</v>
      </c>
    </row>
    <row r="52" spans="1:9" x14ac:dyDescent="0.3">
      <c r="A52" s="1" t="s">
        <v>56</v>
      </c>
      <c r="B52" s="1" t="s">
        <v>40</v>
      </c>
      <c r="C52" s="1">
        <v>23.613697052001953</v>
      </c>
      <c r="D52" s="1">
        <v>23.676137924194336</v>
      </c>
      <c r="E52" s="1">
        <v>8.8304728269577026E-2</v>
      </c>
      <c r="F52" s="1">
        <f t="shared" si="2"/>
        <v>7.0118674758709139</v>
      </c>
      <c r="G52" s="1">
        <f t="shared" si="3"/>
        <v>10277026.487798659</v>
      </c>
      <c r="H52" s="1">
        <f t="shared" si="4"/>
        <v>2055405.2975597319</v>
      </c>
      <c r="I52" s="2">
        <v>2055405.2975597319</v>
      </c>
    </row>
    <row r="53" spans="1:9" x14ac:dyDescent="0.3">
      <c r="A53" s="1" t="s">
        <v>58</v>
      </c>
      <c r="B53" s="1" t="s">
        <v>40</v>
      </c>
      <c r="C53" s="1">
        <v>23.738578796386719</v>
      </c>
      <c r="D53" s="1">
        <v>23.676137924194336</v>
      </c>
      <c r="E53" s="1">
        <v>8.8304728269577026E-2</v>
      </c>
      <c r="F53" s="1">
        <f t="shared" si="2"/>
        <v>7.0118674758709139</v>
      </c>
      <c r="G53" s="1">
        <f t="shared" si="3"/>
        <v>10277026.487798659</v>
      </c>
      <c r="H53" s="1">
        <f t="shared" si="4"/>
        <v>2055405.2975597319</v>
      </c>
      <c r="I53" s="2">
        <v>2055405.2975597319</v>
      </c>
    </row>
    <row r="54" spans="1:9" x14ac:dyDescent="0.3">
      <c r="A54" t="s">
        <v>59</v>
      </c>
      <c r="B54" t="s">
        <v>27</v>
      </c>
      <c r="C54">
        <v>25.322607040405273</v>
      </c>
      <c r="D54">
        <v>25.393177032470703</v>
      </c>
      <c r="E54">
        <v>9.9801041185855865E-2</v>
      </c>
      <c r="F54">
        <f t="shared" si="2"/>
        <v>6.5353489766406616</v>
      </c>
      <c r="G54">
        <f t="shared" si="3"/>
        <v>3430433.2774705281</v>
      </c>
      <c r="H54">
        <f t="shared" si="4"/>
        <v>686086.65549410565</v>
      </c>
      <c r="I54" s="3">
        <f t="shared" si="5"/>
        <v>68608665.549410567</v>
      </c>
    </row>
    <row r="55" spans="1:9" x14ac:dyDescent="0.3">
      <c r="A55" t="s">
        <v>60</v>
      </c>
      <c r="B55" t="s">
        <v>27</v>
      </c>
      <c r="C55">
        <v>25.463747024536133</v>
      </c>
      <c r="D55">
        <v>25.393177032470703</v>
      </c>
      <c r="E55">
        <v>9.9801041185855865E-2</v>
      </c>
      <c r="F55">
        <f t="shared" si="2"/>
        <v>6.5353489766406616</v>
      </c>
      <c r="G55">
        <f t="shared" si="3"/>
        <v>3430433.2774705281</v>
      </c>
      <c r="H55">
        <f t="shared" si="4"/>
        <v>686086.65549410565</v>
      </c>
      <c r="I55" s="3">
        <f t="shared" si="5"/>
        <v>68608665.549410567</v>
      </c>
    </row>
    <row r="56" spans="1:9" x14ac:dyDescent="0.3">
      <c r="A56" t="s">
        <v>62</v>
      </c>
      <c r="B56" t="s">
        <v>59</v>
      </c>
      <c r="C56">
        <v>25.035175323486328</v>
      </c>
      <c r="D56">
        <v>25.029394149780273</v>
      </c>
      <c r="E56">
        <v>8.1758145242929459E-3</v>
      </c>
      <c r="F56">
        <f t="shared" si="2"/>
        <v>6.6363072323202976</v>
      </c>
      <c r="G56">
        <f t="shared" si="3"/>
        <v>4328199.1192444237</v>
      </c>
      <c r="H56">
        <f t="shared" si="4"/>
        <v>865639.82384888479</v>
      </c>
      <c r="I56" s="3">
        <f t="shared" si="5"/>
        <v>86563982.384888485</v>
      </c>
    </row>
    <row r="57" spans="1:9" x14ac:dyDescent="0.3">
      <c r="A57" t="s">
        <v>63</v>
      </c>
      <c r="B57" t="s">
        <v>59</v>
      </c>
      <c r="C57">
        <v>25.023612976074219</v>
      </c>
      <c r="D57">
        <v>25.029394149780273</v>
      </c>
      <c r="E57">
        <v>8.1758145242929459E-3</v>
      </c>
      <c r="F57">
        <f t="shared" si="2"/>
        <v>6.6363072323202976</v>
      </c>
      <c r="G57">
        <f t="shared" si="3"/>
        <v>4328199.1192444237</v>
      </c>
      <c r="H57">
        <f t="shared" si="4"/>
        <v>865639.82384888479</v>
      </c>
      <c r="I57" s="3">
        <f t="shared" si="5"/>
        <v>86563982.384888485</v>
      </c>
    </row>
    <row r="58" spans="1:9" x14ac:dyDescent="0.3">
      <c r="A58" t="s">
        <v>65</v>
      </c>
      <c r="B58" t="s">
        <v>60</v>
      </c>
      <c r="C58">
        <v>33.969562530517578</v>
      </c>
      <c r="D58">
        <v>33.945114135742188</v>
      </c>
      <c r="E58">
        <v>3.4577947109937668E-2</v>
      </c>
      <c r="F58">
        <f t="shared" si="2"/>
        <v>4.1619864746920356</v>
      </c>
      <c r="G58">
        <f t="shared" si="3"/>
        <v>14520.663949293456</v>
      </c>
      <c r="H58">
        <f t="shared" si="4"/>
        <v>2904.132789858691</v>
      </c>
      <c r="I58" s="3">
        <f t="shared" si="5"/>
        <v>290413.27898586908</v>
      </c>
    </row>
    <row r="59" spans="1:9" x14ac:dyDescent="0.3">
      <c r="A59" t="s">
        <v>66</v>
      </c>
      <c r="B59" t="s">
        <v>60</v>
      </c>
      <c r="C59">
        <v>33.920661926269531</v>
      </c>
      <c r="D59">
        <v>33.945114135742188</v>
      </c>
      <c r="E59">
        <v>3.4577947109937668E-2</v>
      </c>
      <c r="F59">
        <f t="shared" si="2"/>
        <v>4.1619864746920356</v>
      </c>
      <c r="G59">
        <f t="shared" si="3"/>
        <v>14520.663949293456</v>
      </c>
      <c r="H59">
        <f t="shared" si="4"/>
        <v>2904.132789858691</v>
      </c>
      <c r="I59" s="3">
        <f t="shared" si="5"/>
        <v>290413.27898586908</v>
      </c>
    </row>
    <row r="60" spans="1:9" x14ac:dyDescent="0.3">
      <c r="A60" t="s">
        <v>68</v>
      </c>
      <c r="B60" t="s">
        <v>148</v>
      </c>
      <c r="C60">
        <v>23.180011749267578</v>
      </c>
      <c r="D60">
        <v>23.232242584228516</v>
      </c>
      <c r="E60">
        <v>7.3864206671714783E-2</v>
      </c>
      <c r="F60">
        <f t="shared" si="2"/>
        <v>7.1350588115814624</v>
      </c>
      <c r="G60">
        <f t="shared" si="3"/>
        <v>13647679.391360149</v>
      </c>
      <c r="H60">
        <f t="shared" si="4"/>
        <v>2729535.8782720296</v>
      </c>
      <c r="I60" s="3">
        <f t="shared" si="5"/>
        <v>272953587.82720298</v>
      </c>
    </row>
    <row r="61" spans="1:9" x14ac:dyDescent="0.3">
      <c r="A61" t="s">
        <v>69</v>
      </c>
      <c r="B61" t="s">
        <v>148</v>
      </c>
      <c r="C61">
        <v>23.28447151184082</v>
      </c>
      <c r="D61">
        <v>23.232242584228516</v>
      </c>
      <c r="E61">
        <v>7.3864206671714783E-2</v>
      </c>
      <c r="F61">
        <f t="shared" si="2"/>
        <v>7.1350588115814624</v>
      </c>
      <c r="G61">
        <f t="shared" si="3"/>
        <v>13647679.391360149</v>
      </c>
      <c r="H61">
        <f t="shared" si="4"/>
        <v>2729535.8782720296</v>
      </c>
      <c r="I61" s="3">
        <f t="shared" si="5"/>
        <v>272953587.82720298</v>
      </c>
    </row>
    <row r="62" spans="1:9" x14ac:dyDescent="0.3">
      <c r="A62" t="s">
        <v>71</v>
      </c>
      <c r="B62" t="s">
        <v>66</v>
      </c>
      <c r="C62">
        <v>21.780107498168945</v>
      </c>
      <c r="D62">
        <v>21.874927520751953</v>
      </c>
      <c r="E62">
        <v>0.13409575819969177</v>
      </c>
      <c r="F62">
        <f t="shared" si="2"/>
        <v>7.5117454775478167</v>
      </c>
      <c r="G62">
        <f t="shared" si="3"/>
        <v>32489683.266987894</v>
      </c>
      <c r="H62">
        <f t="shared" si="4"/>
        <v>6497936.6533975787</v>
      </c>
      <c r="I62" s="3">
        <f t="shared" si="5"/>
        <v>649793665.33975792</v>
      </c>
    </row>
    <row r="63" spans="1:9" x14ac:dyDescent="0.3">
      <c r="A63" t="s">
        <v>72</v>
      </c>
      <c r="B63" t="s">
        <v>66</v>
      </c>
      <c r="C63">
        <v>21.969747543334961</v>
      </c>
      <c r="D63">
        <v>21.874927520751953</v>
      </c>
      <c r="E63">
        <v>0.13409575819969177</v>
      </c>
      <c r="F63">
        <f t="shared" si="2"/>
        <v>7.5117454775478167</v>
      </c>
      <c r="G63">
        <f t="shared" si="3"/>
        <v>32489683.266987894</v>
      </c>
      <c r="H63">
        <f t="shared" si="4"/>
        <v>6497936.6533975787</v>
      </c>
      <c r="I63" s="3">
        <f t="shared" si="5"/>
        <v>649793665.33975792</v>
      </c>
    </row>
    <row r="64" spans="1:9" x14ac:dyDescent="0.3">
      <c r="A64" s="1" t="s">
        <v>73</v>
      </c>
      <c r="B64" s="1" t="s">
        <v>57</v>
      </c>
      <c r="C64" s="1">
        <v>27.228359222412109</v>
      </c>
      <c r="D64" s="1">
        <v>27.231184005737305</v>
      </c>
      <c r="E64" s="1">
        <v>3.9948467165231705E-3</v>
      </c>
      <c r="F64" s="1">
        <f t="shared" si="2"/>
        <v>6.0252590664842494</v>
      </c>
      <c r="G64" s="1">
        <f t="shared" si="3"/>
        <v>1059885.7824891857</v>
      </c>
      <c r="H64" s="1">
        <f t="shared" si="4"/>
        <v>211977.15649783713</v>
      </c>
      <c r="I64" s="2">
        <v>211977.15649783713</v>
      </c>
    </row>
    <row r="65" spans="1:9" x14ac:dyDescent="0.3">
      <c r="A65" s="1" t="s">
        <v>75</v>
      </c>
      <c r="B65" s="1" t="s">
        <v>57</v>
      </c>
      <c r="C65" s="1">
        <v>27.2340087890625</v>
      </c>
      <c r="D65" s="1">
        <v>27.231184005737305</v>
      </c>
      <c r="E65" s="1">
        <v>3.9948467165231705E-3</v>
      </c>
      <c r="F65" s="1">
        <f t="shared" si="2"/>
        <v>6.0252590664842494</v>
      </c>
      <c r="G65" s="1">
        <f t="shared" si="3"/>
        <v>1059885.7824891857</v>
      </c>
      <c r="H65" s="1">
        <f t="shared" si="4"/>
        <v>211977.15649783713</v>
      </c>
      <c r="I65" s="2">
        <v>211977.15649783713</v>
      </c>
    </row>
    <row r="66" spans="1:9" x14ac:dyDescent="0.3">
      <c r="A66" t="s">
        <v>76</v>
      </c>
      <c r="B66" t="s">
        <v>62</v>
      </c>
      <c r="C66">
        <v>25.346532821655273</v>
      </c>
      <c r="D66">
        <v>25.294717788696289</v>
      </c>
      <c r="E66">
        <v>7.327752560377121E-2</v>
      </c>
      <c r="F66">
        <f t="shared" si="2"/>
        <v>6.5626737188975968</v>
      </c>
      <c r="G66">
        <f t="shared" si="3"/>
        <v>3653202.2705293261</v>
      </c>
      <c r="H66">
        <f t="shared" si="4"/>
        <v>730640.45410586521</v>
      </c>
      <c r="I66" s="3">
        <f t="shared" si="5"/>
        <v>73064045.410586521</v>
      </c>
    </row>
    <row r="67" spans="1:9" x14ac:dyDescent="0.3">
      <c r="A67" t="s">
        <v>77</v>
      </c>
      <c r="B67" t="s">
        <v>62</v>
      </c>
      <c r="C67">
        <v>25.242902755737305</v>
      </c>
      <c r="D67">
        <v>25.294717788696289</v>
      </c>
      <c r="E67">
        <v>7.327752560377121E-2</v>
      </c>
      <c r="F67">
        <f t="shared" si="2"/>
        <v>6.5626737188975968</v>
      </c>
      <c r="G67">
        <f t="shared" si="3"/>
        <v>3653202.2705293261</v>
      </c>
      <c r="H67">
        <f t="shared" si="4"/>
        <v>730640.45410586521</v>
      </c>
      <c r="I67" s="3">
        <f t="shared" si="5"/>
        <v>73064045.410586521</v>
      </c>
    </row>
    <row r="68" spans="1:9" x14ac:dyDescent="0.3">
      <c r="A68" t="s">
        <v>79</v>
      </c>
      <c r="B68" t="s">
        <v>76</v>
      </c>
      <c r="C68">
        <v>24.692453384399414</v>
      </c>
      <c r="D68">
        <v>24.659885406494141</v>
      </c>
      <c r="E68">
        <v>4.6059425920248032E-2</v>
      </c>
      <c r="F68">
        <f t="shared" si="2"/>
        <v>6.7388545481935616</v>
      </c>
      <c r="G68">
        <f t="shared" si="3"/>
        <v>5480933.6939891381</v>
      </c>
      <c r="H68">
        <f t="shared" si="4"/>
        <v>1096186.7387978276</v>
      </c>
      <c r="I68" s="3">
        <f t="shared" si="5"/>
        <v>109618673.87978277</v>
      </c>
    </row>
    <row r="69" spans="1:9" x14ac:dyDescent="0.3">
      <c r="A69" t="s">
        <v>80</v>
      </c>
      <c r="B69" t="s">
        <v>76</v>
      </c>
      <c r="C69">
        <v>24.627315521240234</v>
      </c>
      <c r="D69">
        <v>24.659885406494141</v>
      </c>
      <c r="E69">
        <v>4.6059425920248032E-2</v>
      </c>
      <c r="F69">
        <f t="shared" si="2"/>
        <v>6.7388545481935616</v>
      </c>
      <c r="G69">
        <f t="shared" si="3"/>
        <v>5480933.6939891381</v>
      </c>
      <c r="H69">
        <f t="shared" si="4"/>
        <v>1096186.7387978276</v>
      </c>
      <c r="I69" s="3">
        <f t="shared" si="5"/>
        <v>109618673.87978277</v>
      </c>
    </row>
    <row r="70" spans="1:9" x14ac:dyDescent="0.3">
      <c r="A70" t="s">
        <v>82</v>
      </c>
      <c r="B70" t="s">
        <v>77</v>
      </c>
      <c r="C70">
        <v>23.871282577514648</v>
      </c>
      <c r="D70">
        <v>23.889144897460938</v>
      </c>
      <c r="E70">
        <v>2.5262484326958656E-2</v>
      </c>
      <c r="F70">
        <f t="shared" si="2"/>
        <v>6.952753060399929</v>
      </c>
      <c r="G70">
        <f t="shared" si="3"/>
        <v>8969186.62033231</v>
      </c>
      <c r="H70">
        <f t="shared" si="4"/>
        <v>1793837.324066462</v>
      </c>
      <c r="I70" s="3">
        <f t="shared" si="5"/>
        <v>179383732.40664619</v>
      </c>
    </row>
    <row r="71" spans="1:9" x14ac:dyDescent="0.3">
      <c r="A71" t="s">
        <v>83</v>
      </c>
      <c r="B71" t="s">
        <v>77</v>
      </c>
      <c r="C71">
        <v>23.907009124755859</v>
      </c>
      <c r="D71">
        <v>23.889144897460938</v>
      </c>
      <c r="E71">
        <v>2.5262484326958656E-2</v>
      </c>
      <c r="F71">
        <f t="shared" si="2"/>
        <v>6.952753060399929</v>
      </c>
      <c r="G71">
        <f t="shared" si="3"/>
        <v>8969186.62033231</v>
      </c>
      <c r="H71">
        <f t="shared" si="4"/>
        <v>1793837.324066462</v>
      </c>
      <c r="I71" s="3">
        <f t="shared" si="5"/>
        <v>179383732.40664619</v>
      </c>
    </row>
    <row r="72" spans="1:9" x14ac:dyDescent="0.3">
      <c r="A72" t="s">
        <v>85</v>
      </c>
      <c r="B72" t="s">
        <v>30</v>
      </c>
      <c r="C72">
        <v>24.642707824707031</v>
      </c>
      <c r="D72">
        <v>24.652324676513672</v>
      </c>
      <c r="E72">
        <v>1.3598933815956116E-2</v>
      </c>
      <c r="F72">
        <f t="shared" si="2"/>
        <v>6.7409528275431772</v>
      </c>
      <c r="G72">
        <f t="shared" si="3"/>
        <v>5507478.7169591719</v>
      </c>
      <c r="H72">
        <f t="shared" si="4"/>
        <v>1101495.7433918344</v>
      </c>
      <c r="I72" s="3">
        <f t="shared" si="5"/>
        <v>110149574.33918345</v>
      </c>
    </row>
    <row r="73" spans="1:9" x14ac:dyDescent="0.3">
      <c r="A73" t="s">
        <v>86</v>
      </c>
      <c r="B73" t="s">
        <v>30</v>
      </c>
      <c r="C73">
        <v>24.66193962097168</v>
      </c>
      <c r="D73">
        <v>24.652324676513672</v>
      </c>
      <c r="E73">
        <v>1.3598933815956116E-2</v>
      </c>
      <c r="F73">
        <f t="shared" si="2"/>
        <v>6.7409528275431772</v>
      </c>
      <c r="G73">
        <f t="shared" si="3"/>
        <v>5507478.7169591719</v>
      </c>
      <c r="H73">
        <f t="shared" si="4"/>
        <v>1101495.7433918344</v>
      </c>
      <c r="I73" s="3">
        <f t="shared" si="5"/>
        <v>110149574.33918345</v>
      </c>
    </row>
    <row r="74" spans="1:9" x14ac:dyDescent="0.3">
      <c r="A74" t="s">
        <v>88</v>
      </c>
      <c r="B74" t="s">
        <v>83</v>
      </c>
      <c r="C74">
        <v>26.823848724365234</v>
      </c>
      <c r="D74">
        <v>26.841541290283203</v>
      </c>
      <c r="E74">
        <v>2.5022415444254875E-2</v>
      </c>
      <c r="F74">
        <f t="shared" si="2"/>
        <v>6.1333940303934718</v>
      </c>
      <c r="G74">
        <f t="shared" si="3"/>
        <v>1359546.3880026997</v>
      </c>
      <c r="H74">
        <f t="shared" si="4"/>
        <v>271909.27760053996</v>
      </c>
      <c r="I74" s="3">
        <f t="shared" si="5"/>
        <v>27190927.760053996</v>
      </c>
    </row>
    <row r="75" spans="1:9" x14ac:dyDescent="0.3">
      <c r="A75" t="s">
        <v>89</v>
      </c>
      <c r="B75" t="s">
        <v>83</v>
      </c>
      <c r="C75">
        <v>26.859235763549805</v>
      </c>
      <c r="D75">
        <v>26.841541290283203</v>
      </c>
      <c r="E75">
        <v>2.5022415444254875E-2</v>
      </c>
      <c r="F75">
        <f t="shared" si="2"/>
        <v>6.1333940303934718</v>
      </c>
      <c r="G75">
        <f t="shared" si="3"/>
        <v>1359546.3880026997</v>
      </c>
      <c r="H75">
        <f t="shared" si="4"/>
        <v>271909.27760053996</v>
      </c>
      <c r="I75" s="3">
        <f t="shared" si="5"/>
        <v>27190927.760053996</v>
      </c>
    </row>
    <row r="76" spans="1:9" x14ac:dyDescent="0.3">
      <c r="A76" s="1" t="s">
        <v>90</v>
      </c>
      <c r="B76" s="1" t="s">
        <v>74</v>
      </c>
      <c r="C76" s="1">
        <v>30.808628082275391</v>
      </c>
      <c r="D76" s="1">
        <v>30.763526916503906</v>
      </c>
      <c r="E76" s="1">
        <v>6.3784025609493256E-2</v>
      </c>
      <c r="F76" s="1">
        <f t="shared" si="2"/>
        <v>5.0449513178186924</v>
      </c>
      <c r="G76" s="1">
        <f t="shared" si="3"/>
        <v>110905.04894295271</v>
      </c>
      <c r="H76" s="1">
        <f t="shared" si="4"/>
        <v>22181.009788590542</v>
      </c>
      <c r="I76" s="2">
        <v>22181.009788590542</v>
      </c>
    </row>
    <row r="77" spans="1:9" x14ac:dyDescent="0.3">
      <c r="A77" s="1" t="s">
        <v>92</v>
      </c>
      <c r="B77" s="1" t="s">
        <v>74</v>
      </c>
      <c r="C77" s="1">
        <v>30.718423843383789</v>
      </c>
      <c r="D77" s="1">
        <v>30.763526916503906</v>
      </c>
      <c r="E77" s="1">
        <v>6.3784025609493256E-2</v>
      </c>
      <c r="F77" s="1">
        <f t="shared" si="2"/>
        <v>5.0449513178186924</v>
      </c>
      <c r="G77" s="1">
        <f t="shared" si="3"/>
        <v>110905.04894295271</v>
      </c>
      <c r="H77" s="1">
        <f t="shared" si="4"/>
        <v>22181.009788590542</v>
      </c>
      <c r="I77" s="2">
        <v>22181.009788590542</v>
      </c>
    </row>
    <row r="78" spans="1:9" x14ac:dyDescent="0.3">
      <c r="A78" t="s">
        <v>93</v>
      </c>
      <c r="B78" t="s">
        <v>79</v>
      </c>
      <c r="C78">
        <v>24.832996368408203</v>
      </c>
      <c r="D78">
        <v>24.906702041625977</v>
      </c>
      <c r="E78">
        <v>0.10423555970191956</v>
      </c>
      <c r="F78">
        <f t="shared" si="2"/>
        <v>6.6703571610396093</v>
      </c>
      <c r="G78">
        <f t="shared" si="3"/>
        <v>4681199.6192927239</v>
      </c>
      <c r="H78">
        <f t="shared" si="4"/>
        <v>936239.92385854479</v>
      </c>
      <c r="I78" s="3">
        <f t="shared" si="5"/>
        <v>93623992.385854483</v>
      </c>
    </row>
    <row r="79" spans="1:9" x14ac:dyDescent="0.3">
      <c r="A79" t="s">
        <v>94</v>
      </c>
      <c r="B79" t="s">
        <v>79</v>
      </c>
      <c r="C79">
        <v>24.98040771484375</v>
      </c>
      <c r="D79">
        <v>24.906702041625977</v>
      </c>
      <c r="E79">
        <v>0.10423555970191956</v>
      </c>
      <c r="F79">
        <f t="shared" si="2"/>
        <v>6.6703571610396093</v>
      </c>
      <c r="G79">
        <f t="shared" si="3"/>
        <v>4681199.6192927239</v>
      </c>
      <c r="H79">
        <f t="shared" si="4"/>
        <v>936239.92385854479</v>
      </c>
      <c r="I79" s="3">
        <f t="shared" si="5"/>
        <v>93623992.385854483</v>
      </c>
    </row>
    <row r="80" spans="1:9" x14ac:dyDescent="0.3">
      <c r="A80" t="s">
        <v>96</v>
      </c>
      <c r="B80" t="s">
        <v>93</v>
      </c>
      <c r="C80">
        <v>24.680431365966797</v>
      </c>
      <c r="D80">
        <v>24.653318405151367</v>
      </c>
      <c r="E80">
        <v>3.8343515247106552E-2</v>
      </c>
      <c r="F80">
        <f t="shared" si="2"/>
        <v>6.7406770446115045</v>
      </c>
      <c r="G80">
        <f t="shared" si="3"/>
        <v>5503982.5028904863</v>
      </c>
      <c r="H80">
        <f t="shared" si="4"/>
        <v>1100796.5005780973</v>
      </c>
      <c r="I80" s="3">
        <f t="shared" si="5"/>
        <v>110079650.05780973</v>
      </c>
    </row>
    <row r="81" spans="1:9" x14ac:dyDescent="0.3">
      <c r="A81" t="s">
        <v>97</v>
      </c>
      <c r="B81" t="s">
        <v>93</v>
      </c>
      <c r="C81">
        <v>24.626205444335938</v>
      </c>
      <c r="D81">
        <v>24.653318405151367</v>
      </c>
      <c r="E81">
        <v>3.8343515247106552E-2</v>
      </c>
      <c r="F81">
        <f t="shared" si="2"/>
        <v>6.7406770446115045</v>
      </c>
      <c r="G81">
        <f t="shared" si="3"/>
        <v>5503982.5028904863</v>
      </c>
      <c r="H81">
        <f t="shared" si="4"/>
        <v>1100796.5005780973</v>
      </c>
      <c r="I81" s="3">
        <f t="shared" si="5"/>
        <v>110079650.05780973</v>
      </c>
    </row>
    <row r="82" spans="1:9" x14ac:dyDescent="0.3">
      <c r="A82" t="s">
        <v>99</v>
      </c>
      <c r="B82" t="s">
        <v>94</v>
      </c>
      <c r="C82">
        <v>24.980014801025391</v>
      </c>
      <c r="D82">
        <v>24.947227478027344</v>
      </c>
      <c r="E82">
        <v>4.636693000793457E-2</v>
      </c>
      <c r="F82">
        <f t="shared" si="2"/>
        <v>6.6591104048990246</v>
      </c>
      <c r="G82">
        <f t="shared" si="3"/>
        <v>4561528.6287680101</v>
      </c>
      <c r="H82">
        <f t="shared" si="4"/>
        <v>912305.72575360199</v>
      </c>
      <c r="I82" s="3">
        <f t="shared" si="5"/>
        <v>91230572.575360194</v>
      </c>
    </row>
    <row r="83" spans="1:9" x14ac:dyDescent="0.3">
      <c r="A83" t="s">
        <v>100</v>
      </c>
      <c r="B83" t="s">
        <v>94</v>
      </c>
      <c r="C83">
        <v>24.91444206237793</v>
      </c>
      <c r="D83">
        <v>24.947227478027344</v>
      </c>
      <c r="E83">
        <v>4.636693000793457E-2</v>
      </c>
      <c r="F83">
        <f t="shared" si="2"/>
        <v>6.6591104048990246</v>
      </c>
      <c r="G83">
        <f t="shared" si="3"/>
        <v>4561528.6287680101</v>
      </c>
      <c r="H83">
        <f t="shared" si="4"/>
        <v>912305.72575360199</v>
      </c>
      <c r="I83" s="3">
        <f t="shared" si="5"/>
        <v>91230572.575360194</v>
      </c>
    </row>
    <row r="84" spans="1:9" x14ac:dyDescent="0.3">
      <c r="A84" t="s">
        <v>102</v>
      </c>
      <c r="B84" t="s">
        <v>48</v>
      </c>
      <c r="C84">
        <v>22.975963592529297</v>
      </c>
      <c r="D84">
        <v>23.005786895751953</v>
      </c>
      <c r="E84">
        <v>4.2177867144346237E-2</v>
      </c>
      <c r="F84">
        <f t="shared" si="2"/>
        <v>7.197905559972261</v>
      </c>
      <c r="G84">
        <f t="shared" si="3"/>
        <v>15772682.45645183</v>
      </c>
      <c r="H84">
        <f t="shared" si="4"/>
        <v>3154536.4912903658</v>
      </c>
      <c r="I84" s="3">
        <f t="shared" si="5"/>
        <v>315453649.12903661</v>
      </c>
    </row>
    <row r="85" spans="1:9" x14ac:dyDescent="0.3">
      <c r="A85" t="s">
        <v>103</v>
      </c>
      <c r="B85" t="s">
        <v>48</v>
      </c>
      <c r="C85">
        <v>23.035612106323242</v>
      </c>
      <c r="D85">
        <v>23.005786895751953</v>
      </c>
      <c r="E85">
        <v>4.2177867144346237E-2</v>
      </c>
      <c r="F85">
        <f t="shared" si="2"/>
        <v>7.197905559972261</v>
      </c>
      <c r="G85">
        <f t="shared" si="3"/>
        <v>15772682.45645183</v>
      </c>
      <c r="H85">
        <f t="shared" si="4"/>
        <v>3154536.4912903658</v>
      </c>
      <c r="I85" s="3">
        <f t="shared" si="5"/>
        <v>315453649.12903661</v>
      </c>
    </row>
    <row r="86" spans="1:9" x14ac:dyDescent="0.3">
      <c r="A86" t="s">
        <v>105</v>
      </c>
      <c r="B86" t="s">
        <v>100</v>
      </c>
      <c r="C86">
        <v>28.014518737792969</v>
      </c>
      <c r="D86">
        <v>28.030281066894531</v>
      </c>
      <c r="E86">
        <v>2.229129895567894E-2</v>
      </c>
      <c r="F86">
        <f t="shared" si="2"/>
        <v>5.8034909480491406</v>
      </c>
      <c r="G86">
        <f t="shared" si="3"/>
        <v>636049.54759018426</v>
      </c>
      <c r="H86">
        <f t="shared" si="4"/>
        <v>127209.90951803685</v>
      </c>
      <c r="I86" s="3">
        <f t="shared" si="5"/>
        <v>12720990.951803684</v>
      </c>
    </row>
    <row r="87" spans="1:9" x14ac:dyDescent="0.3">
      <c r="A87" t="s">
        <v>106</v>
      </c>
      <c r="B87" t="s">
        <v>100</v>
      </c>
      <c r="C87">
        <v>28.046043395996094</v>
      </c>
      <c r="D87">
        <v>28.030281066894531</v>
      </c>
      <c r="E87">
        <v>2.229129895567894E-2</v>
      </c>
      <c r="F87">
        <f t="shared" si="2"/>
        <v>5.8034909480491406</v>
      </c>
      <c r="G87">
        <f t="shared" si="3"/>
        <v>636049.54759018426</v>
      </c>
      <c r="H87">
        <f t="shared" si="4"/>
        <v>127209.90951803685</v>
      </c>
      <c r="I87" s="3">
        <f t="shared" si="5"/>
        <v>12720990.951803684</v>
      </c>
    </row>
    <row r="88" spans="1:9" x14ac:dyDescent="0.3">
      <c r="A88" s="1" t="s">
        <v>107</v>
      </c>
      <c r="B88" s="1" t="s">
        <v>91</v>
      </c>
      <c r="C88" s="1">
        <v>34.362979888916016</v>
      </c>
      <c r="D88" s="1">
        <v>34.474178314208984</v>
      </c>
      <c r="E88" s="1">
        <v>0.15725831687450409</v>
      </c>
      <c r="F88" s="1">
        <f t="shared" si="2"/>
        <v>4.0151587949354806</v>
      </c>
      <c r="G88" s="1">
        <f t="shared" si="3"/>
        <v>10355.207240755088</v>
      </c>
      <c r="H88" s="1">
        <f t="shared" si="4"/>
        <v>2071.0414481510174</v>
      </c>
      <c r="I88" s="2">
        <v>2071.0414481510174</v>
      </c>
    </row>
    <row r="89" spans="1:9" x14ac:dyDescent="0.3">
      <c r="A89" s="1" t="s">
        <v>109</v>
      </c>
      <c r="B89" s="1" t="s">
        <v>91</v>
      </c>
      <c r="C89" s="1">
        <v>34.585376739501953</v>
      </c>
      <c r="D89" s="1">
        <v>34.474178314208984</v>
      </c>
      <c r="E89" s="1">
        <v>0.15725831687450409</v>
      </c>
      <c r="F89" s="1">
        <f t="shared" si="2"/>
        <v>4.0151587949354806</v>
      </c>
      <c r="G89" s="1">
        <f t="shared" si="3"/>
        <v>10355.207240755088</v>
      </c>
      <c r="H89" s="1">
        <f t="shared" si="4"/>
        <v>2071.0414481510174</v>
      </c>
      <c r="I89" s="2">
        <v>2071.0414481510174</v>
      </c>
    </row>
    <row r="90" spans="1:9" x14ac:dyDescent="0.3">
      <c r="A90" t="s">
        <v>110</v>
      </c>
      <c r="B90" t="s">
        <v>96</v>
      </c>
      <c r="C90">
        <v>23.677921295166016</v>
      </c>
      <c r="D90">
        <v>23.692317962646484</v>
      </c>
      <c r="E90">
        <v>2.0359963178634644E-2</v>
      </c>
      <c r="F90">
        <f t="shared" si="2"/>
        <v>7.0073771368893834</v>
      </c>
      <c r="G90">
        <f t="shared" si="3"/>
        <v>10171315.761369498</v>
      </c>
      <c r="H90">
        <f t="shared" si="4"/>
        <v>2034263.1522738996</v>
      </c>
      <c r="I90" s="3">
        <f t="shared" si="5"/>
        <v>203426315.22738996</v>
      </c>
    </row>
    <row r="91" spans="1:9" x14ac:dyDescent="0.3">
      <c r="A91" t="s">
        <v>111</v>
      </c>
      <c r="B91" t="s">
        <v>96</v>
      </c>
      <c r="C91">
        <v>23.706714630126953</v>
      </c>
      <c r="D91">
        <v>23.692317962646484</v>
      </c>
      <c r="E91">
        <v>2.0359963178634644E-2</v>
      </c>
      <c r="F91">
        <f t="shared" si="2"/>
        <v>7.0073771368893834</v>
      </c>
      <c r="G91">
        <f t="shared" si="3"/>
        <v>10171315.761369498</v>
      </c>
      <c r="H91">
        <f t="shared" si="4"/>
        <v>2034263.1522738996</v>
      </c>
      <c r="I91" s="3">
        <f t="shared" si="5"/>
        <v>203426315.22738996</v>
      </c>
    </row>
    <row r="92" spans="1:9" x14ac:dyDescent="0.3">
      <c r="A92" t="s">
        <v>113</v>
      </c>
      <c r="B92" t="s">
        <v>110</v>
      </c>
      <c r="C92">
        <v>24.933176040649414</v>
      </c>
      <c r="D92">
        <v>24.921310424804688</v>
      </c>
      <c r="E92">
        <v>1.6781862825155258E-2</v>
      </c>
      <c r="F92">
        <f t="shared" si="2"/>
        <v>6.666302993143872</v>
      </c>
      <c r="G92">
        <f t="shared" si="3"/>
        <v>4637703.6440377254</v>
      </c>
      <c r="H92">
        <f t="shared" si="4"/>
        <v>927540.72880754503</v>
      </c>
      <c r="I92" s="3">
        <f t="shared" si="5"/>
        <v>92754072.880754501</v>
      </c>
    </row>
    <row r="93" spans="1:9" x14ac:dyDescent="0.3">
      <c r="A93" t="s">
        <v>114</v>
      </c>
      <c r="B93" t="s">
        <v>110</v>
      </c>
      <c r="C93">
        <v>24.909442901611328</v>
      </c>
      <c r="D93">
        <v>24.921310424804688</v>
      </c>
      <c r="E93">
        <v>1.6781862825155258E-2</v>
      </c>
      <c r="F93">
        <f t="shared" ref="F93:F123" si="6">(D93-48.942)/-3.6033</f>
        <v>6.666302993143872</v>
      </c>
      <c r="G93">
        <f t="shared" ref="G93:G123" si="7">10^F93</f>
        <v>4637703.6440377254</v>
      </c>
      <c r="H93">
        <f t="shared" ref="H93:H123" si="8">G93/5</f>
        <v>927540.72880754503</v>
      </c>
      <c r="I93" s="3">
        <f t="shared" si="5"/>
        <v>92754072.880754501</v>
      </c>
    </row>
    <row r="94" spans="1:9" x14ac:dyDescent="0.3">
      <c r="A94" t="s">
        <v>116</v>
      </c>
      <c r="B94" t="s">
        <v>111</v>
      </c>
      <c r="C94">
        <v>24.904972076416016</v>
      </c>
      <c r="D94">
        <v>24.905487060546875</v>
      </c>
      <c r="E94">
        <v>7.2829757118597627E-4</v>
      </c>
      <c r="F94">
        <f t="shared" si="6"/>
        <v>6.6706943466969513</v>
      </c>
      <c r="G94">
        <f t="shared" si="7"/>
        <v>4684835.5077093877</v>
      </c>
      <c r="H94">
        <f t="shared" si="8"/>
        <v>936967.10154187749</v>
      </c>
      <c r="I94" s="3">
        <f t="shared" ref="I94:I124" si="9">H94*100</f>
        <v>93696710.154187754</v>
      </c>
    </row>
    <row r="95" spans="1:9" x14ac:dyDescent="0.3">
      <c r="A95" t="s">
        <v>117</v>
      </c>
      <c r="B95" t="s">
        <v>111</v>
      </c>
      <c r="C95">
        <v>24.906002044677734</v>
      </c>
      <c r="D95">
        <v>24.905487060546875</v>
      </c>
      <c r="E95">
        <v>7.2829757118597627E-4</v>
      </c>
      <c r="F95">
        <f t="shared" si="6"/>
        <v>6.6706943466969513</v>
      </c>
      <c r="G95">
        <f t="shared" si="7"/>
        <v>4684835.5077093877</v>
      </c>
      <c r="H95">
        <f t="shared" si="8"/>
        <v>936967.10154187749</v>
      </c>
      <c r="I95" s="3">
        <f t="shared" si="9"/>
        <v>93696710.154187754</v>
      </c>
    </row>
    <row r="96" spans="1:9" x14ac:dyDescent="0.3">
      <c r="A96" t="s">
        <v>119</v>
      </c>
      <c r="B96" t="s">
        <v>65</v>
      </c>
      <c r="C96">
        <v>23.303688049316406</v>
      </c>
      <c r="D96">
        <v>23.382175445556641</v>
      </c>
      <c r="E96">
        <v>0.11099658906459808</v>
      </c>
      <c r="F96">
        <f t="shared" si="6"/>
        <v>7.0934489369309688</v>
      </c>
      <c r="G96">
        <f t="shared" si="7"/>
        <v>12400778.118416958</v>
      </c>
      <c r="H96">
        <f t="shared" si="8"/>
        <v>2480155.6236833916</v>
      </c>
      <c r="I96" s="3">
        <f t="shared" si="9"/>
        <v>248015562.36833915</v>
      </c>
    </row>
    <row r="97" spans="1:9" x14ac:dyDescent="0.3">
      <c r="A97" t="s">
        <v>120</v>
      </c>
      <c r="B97" t="s">
        <v>65</v>
      </c>
      <c r="C97">
        <v>23.460660934448242</v>
      </c>
      <c r="D97">
        <v>23.382175445556641</v>
      </c>
      <c r="E97">
        <v>0.11099658906459808</v>
      </c>
      <c r="F97">
        <f t="shared" si="6"/>
        <v>7.0934489369309688</v>
      </c>
      <c r="G97">
        <f t="shared" si="7"/>
        <v>12400778.118416958</v>
      </c>
      <c r="H97">
        <f t="shared" si="8"/>
        <v>2480155.6236833916</v>
      </c>
      <c r="I97" s="3">
        <f t="shared" si="9"/>
        <v>248015562.36833915</v>
      </c>
    </row>
    <row r="98" spans="1:9" x14ac:dyDescent="0.3">
      <c r="A98" t="s">
        <v>122</v>
      </c>
      <c r="B98" t="s">
        <v>117</v>
      </c>
      <c r="C98">
        <v>25.980169296264648</v>
      </c>
      <c r="D98">
        <v>26.0235595703125</v>
      </c>
      <c r="E98">
        <v>6.1361763626337051E-2</v>
      </c>
      <c r="F98">
        <f t="shared" si="6"/>
        <v>6.3604030831980412</v>
      </c>
      <c r="G98">
        <f t="shared" si="7"/>
        <v>2292994.8704847931</v>
      </c>
      <c r="H98">
        <f t="shared" si="8"/>
        <v>458598.97409695864</v>
      </c>
      <c r="I98" s="3">
        <f t="shared" si="9"/>
        <v>45859897.409695864</v>
      </c>
    </row>
    <row r="99" spans="1:9" x14ac:dyDescent="0.3">
      <c r="A99" t="s">
        <v>123</v>
      </c>
      <c r="B99" t="s">
        <v>117</v>
      </c>
      <c r="C99">
        <v>26.066947937011719</v>
      </c>
      <c r="D99">
        <v>26.0235595703125</v>
      </c>
      <c r="E99">
        <v>6.1361763626337051E-2</v>
      </c>
      <c r="F99">
        <f t="shared" si="6"/>
        <v>6.3604030831980412</v>
      </c>
      <c r="G99">
        <f t="shared" si="7"/>
        <v>2292994.8704847931</v>
      </c>
      <c r="H99">
        <f t="shared" si="8"/>
        <v>458598.97409695864</v>
      </c>
      <c r="I99" s="3">
        <f t="shared" si="9"/>
        <v>45859897.409695864</v>
      </c>
    </row>
    <row r="100" spans="1:9" x14ac:dyDescent="0.3">
      <c r="A100" s="1" t="s">
        <v>124</v>
      </c>
      <c r="B100" s="1" t="s">
        <v>108</v>
      </c>
      <c r="C100" s="1">
        <v>37.187034606933594</v>
      </c>
      <c r="D100" s="1">
        <v>37.321903228759766</v>
      </c>
      <c r="E100" s="1">
        <v>0.19073303043842316</v>
      </c>
      <c r="F100" s="1">
        <f t="shared" si="6"/>
        <v>3.2248485475092927</v>
      </c>
      <c r="G100" s="1">
        <f t="shared" si="7"/>
        <v>1678.2186670956996</v>
      </c>
      <c r="H100" s="1">
        <f t="shared" si="8"/>
        <v>335.64373341913995</v>
      </c>
      <c r="I100" s="2">
        <v>335.64373341913995</v>
      </c>
    </row>
    <row r="101" spans="1:9" x14ac:dyDescent="0.3">
      <c r="A101" s="1" t="s">
        <v>126</v>
      </c>
      <c r="B101" s="1" t="s">
        <v>108</v>
      </c>
      <c r="C101" s="1">
        <v>37.456771850585938</v>
      </c>
      <c r="D101" s="1">
        <v>37.321903228759766</v>
      </c>
      <c r="E101" s="1">
        <v>0.19073303043842316</v>
      </c>
      <c r="F101" s="1">
        <f t="shared" si="6"/>
        <v>3.2248485475092927</v>
      </c>
      <c r="G101" s="1">
        <f t="shared" si="7"/>
        <v>1678.2186670956996</v>
      </c>
      <c r="H101" s="1">
        <f t="shared" si="8"/>
        <v>335.64373341913995</v>
      </c>
      <c r="I101" s="2">
        <v>335.64373341913995</v>
      </c>
    </row>
    <row r="102" spans="1:9" x14ac:dyDescent="0.3">
      <c r="A102" t="s">
        <v>127</v>
      </c>
      <c r="B102" t="s">
        <v>130</v>
      </c>
      <c r="C102">
        <v>24.228788375854492</v>
      </c>
      <c r="D102">
        <v>24.267532348632813</v>
      </c>
      <c r="E102">
        <v>5.4792251437902451E-2</v>
      </c>
      <c r="F102">
        <f t="shared" si="6"/>
        <v>6.8477416954922399</v>
      </c>
      <c r="G102">
        <f t="shared" si="7"/>
        <v>7042740.6462064069</v>
      </c>
      <c r="H102">
        <f t="shared" si="8"/>
        <v>1408548.1292412814</v>
      </c>
      <c r="I102" s="3">
        <f t="shared" si="9"/>
        <v>140854812.92412814</v>
      </c>
    </row>
    <row r="103" spans="1:9" x14ac:dyDescent="0.3">
      <c r="A103" t="s">
        <v>128</v>
      </c>
      <c r="B103" t="s">
        <v>130</v>
      </c>
      <c r="C103">
        <v>24.306276321411133</v>
      </c>
      <c r="D103">
        <v>24.267532348632813</v>
      </c>
      <c r="E103">
        <v>5.4792251437902451E-2</v>
      </c>
      <c r="F103">
        <f t="shared" si="6"/>
        <v>6.8477416954922399</v>
      </c>
      <c r="G103">
        <f t="shared" si="7"/>
        <v>7042740.6462064069</v>
      </c>
      <c r="H103">
        <f t="shared" si="8"/>
        <v>1408548.1292412814</v>
      </c>
      <c r="I103" s="3">
        <f t="shared" si="9"/>
        <v>140854812.92412814</v>
      </c>
    </row>
    <row r="104" spans="1:9" x14ac:dyDescent="0.3">
      <c r="A104" t="s">
        <v>130</v>
      </c>
      <c r="B104" t="s">
        <v>127</v>
      </c>
      <c r="C104">
        <v>22.962991714477539</v>
      </c>
      <c r="D104">
        <v>22.975990295410156</v>
      </c>
      <c r="E104">
        <v>1.8382769078016281E-2</v>
      </c>
      <c r="F104">
        <f t="shared" si="6"/>
        <v>7.2061748132516978</v>
      </c>
      <c r="G104">
        <f t="shared" si="7"/>
        <v>16075882.130416919</v>
      </c>
      <c r="H104">
        <f t="shared" si="8"/>
        <v>3215176.4260833836</v>
      </c>
      <c r="I104" s="3">
        <f t="shared" si="9"/>
        <v>321517642.60833836</v>
      </c>
    </row>
    <row r="105" spans="1:9" x14ac:dyDescent="0.3">
      <c r="A105" t="s">
        <v>131</v>
      </c>
      <c r="B105" t="s">
        <v>127</v>
      </c>
      <c r="C105">
        <v>22.988988876342773</v>
      </c>
      <c r="D105">
        <v>22.975990295410156</v>
      </c>
      <c r="E105">
        <v>1.8382769078016281E-2</v>
      </c>
      <c r="F105">
        <f t="shared" si="6"/>
        <v>7.2061748132516978</v>
      </c>
      <c r="G105">
        <f t="shared" si="7"/>
        <v>16075882.130416919</v>
      </c>
      <c r="H105">
        <f t="shared" si="8"/>
        <v>3215176.4260833836</v>
      </c>
      <c r="I105" s="3">
        <f t="shared" si="9"/>
        <v>321517642.60833836</v>
      </c>
    </row>
    <row r="106" spans="1:9" x14ac:dyDescent="0.3">
      <c r="A106" t="s">
        <v>133</v>
      </c>
      <c r="B106" t="s">
        <v>128</v>
      </c>
      <c r="C106">
        <v>22.534317016601563</v>
      </c>
      <c r="D106">
        <v>22.580469131469727</v>
      </c>
      <c r="E106">
        <v>6.5268948674201965E-2</v>
      </c>
      <c r="F106">
        <f t="shared" si="6"/>
        <v>7.3159411840619084</v>
      </c>
      <c r="G106">
        <f t="shared" si="7"/>
        <v>20698610.112179499</v>
      </c>
      <c r="H106">
        <f t="shared" si="8"/>
        <v>4139722.0224358998</v>
      </c>
      <c r="I106" s="3">
        <f t="shared" si="9"/>
        <v>413972202.24359</v>
      </c>
    </row>
    <row r="107" spans="1:9" x14ac:dyDescent="0.3">
      <c r="A107" t="s">
        <v>134</v>
      </c>
      <c r="B107" t="s">
        <v>128</v>
      </c>
      <c r="C107">
        <v>22.626621246337891</v>
      </c>
      <c r="D107">
        <v>22.580469131469727</v>
      </c>
      <c r="E107">
        <v>6.5268948674201965E-2</v>
      </c>
      <c r="F107">
        <f t="shared" si="6"/>
        <v>7.3159411840619084</v>
      </c>
      <c r="G107">
        <f t="shared" si="7"/>
        <v>20698610.112179499</v>
      </c>
      <c r="H107">
        <f t="shared" si="8"/>
        <v>4139722.0224358998</v>
      </c>
      <c r="I107" s="3">
        <f t="shared" si="9"/>
        <v>413972202.24359</v>
      </c>
    </row>
    <row r="108" spans="1:9" x14ac:dyDescent="0.3">
      <c r="A108" t="s">
        <v>136</v>
      </c>
      <c r="B108" t="s">
        <v>99</v>
      </c>
      <c r="C108">
        <v>23.372341156005859</v>
      </c>
      <c r="D108">
        <v>23.400094985961914</v>
      </c>
      <c r="E108">
        <v>3.9249841123819351E-2</v>
      </c>
      <c r="F108">
        <f t="shared" si="6"/>
        <v>7.0884758454855508</v>
      </c>
      <c r="G108">
        <f t="shared" si="7"/>
        <v>12259587.156245554</v>
      </c>
      <c r="H108">
        <f t="shared" si="8"/>
        <v>2451917.431249111</v>
      </c>
      <c r="I108" s="3">
        <f t="shared" si="9"/>
        <v>245191743.1249111</v>
      </c>
    </row>
    <row r="109" spans="1:9" x14ac:dyDescent="0.3">
      <c r="A109" t="s">
        <v>137</v>
      </c>
      <c r="B109" t="s">
        <v>99</v>
      </c>
      <c r="C109">
        <v>23.427848815917969</v>
      </c>
      <c r="D109">
        <v>23.400094985961914</v>
      </c>
      <c r="E109">
        <v>3.9249841123819351E-2</v>
      </c>
      <c r="F109">
        <f t="shared" si="6"/>
        <v>7.0884758454855508</v>
      </c>
      <c r="G109">
        <f t="shared" si="7"/>
        <v>12259587.156245554</v>
      </c>
      <c r="H109">
        <f t="shared" si="8"/>
        <v>2451917.431249111</v>
      </c>
      <c r="I109" s="3">
        <f t="shared" si="9"/>
        <v>245191743.1249111</v>
      </c>
    </row>
    <row r="110" spans="1:9" x14ac:dyDescent="0.3">
      <c r="A110" t="s">
        <v>139</v>
      </c>
      <c r="B110" t="s">
        <v>134</v>
      </c>
      <c r="C110">
        <v>26.018669128417969</v>
      </c>
      <c r="D110">
        <v>25.955085754394531</v>
      </c>
      <c r="E110">
        <v>8.9921817183494568E-2</v>
      </c>
      <c r="F110">
        <f t="shared" si="6"/>
        <v>6.3794061681251826</v>
      </c>
      <c r="G110">
        <f t="shared" si="7"/>
        <v>2395555.1200686591</v>
      </c>
      <c r="H110">
        <f t="shared" si="8"/>
        <v>479111.0240137318</v>
      </c>
      <c r="I110" s="3">
        <f t="shared" si="9"/>
        <v>47911102.401373178</v>
      </c>
    </row>
    <row r="111" spans="1:9" x14ac:dyDescent="0.3">
      <c r="A111" t="s">
        <v>140</v>
      </c>
      <c r="B111" t="s">
        <v>134</v>
      </c>
      <c r="C111">
        <v>25.891500473022461</v>
      </c>
      <c r="D111">
        <v>25.955085754394531</v>
      </c>
      <c r="E111">
        <v>8.9921817183494568E-2</v>
      </c>
      <c r="F111">
        <f t="shared" si="6"/>
        <v>6.3794061681251826</v>
      </c>
      <c r="G111">
        <f t="shared" si="7"/>
        <v>2395555.1200686591</v>
      </c>
      <c r="H111">
        <f t="shared" si="8"/>
        <v>479111.0240137318</v>
      </c>
      <c r="I111" s="3">
        <f t="shared" si="9"/>
        <v>47911102.401373178</v>
      </c>
    </row>
    <row r="112" spans="1:9" x14ac:dyDescent="0.3">
      <c r="A112" s="4" t="s">
        <v>141</v>
      </c>
      <c r="B112" s="4" t="s">
        <v>224</v>
      </c>
      <c r="C112" s="4" t="s">
        <v>142</v>
      </c>
      <c r="D112" s="4" t="s">
        <v>38</v>
      </c>
      <c r="E112" s="4" t="s">
        <v>38</v>
      </c>
      <c r="I112" s="3"/>
    </row>
    <row r="113" spans="1:9" x14ac:dyDescent="0.3">
      <c r="A113" s="4" t="s">
        <v>143</v>
      </c>
      <c r="B113" s="4" t="s">
        <v>224</v>
      </c>
      <c r="C113" s="4" t="s">
        <v>142</v>
      </c>
      <c r="D113" s="4" t="s">
        <v>38</v>
      </c>
      <c r="E113" s="4" t="s">
        <v>38</v>
      </c>
      <c r="I113" s="3"/>
    </row>
    <row r="114" spans="1:9" x14ac:dyDescent="0.3">
      <c r="A114" t="s">
        <v>144</v>
      </c>
      <c r="B114" t="s">
        <v>80</v>
      </c>
      <c r="C114">
        <v>24.804519653320313</v>
      </c>
      <c r="D114">
        <v>24.75128173828125</v>
      </c>
      <c r="E114">
        <v>7.529112696647644E-2</v>
      </c>
      <c r="F114">
        <f t="shared" si="6"/>
        <v>6.7134899291534849</v>
      </c>
      <c r="G114">
        <f t="shared" si="7"/>
        <v>5169992.6914339187</v>
      </c>
      <c r="H114">
        <f t="shared" si="8"/>
        <v>1033998.5382867837</v>
      </c>
      <c r="I114" s="3">
        <f t="shared" si="9"/>
        <v>103399853.82867837</v>
      </c>
    </row>
    <row r="115" spans="1:9" x14ac:dyDescent="0.3">
      <c r="A115" t="s">
        <v>145</v>
      </c>
      <c r="B115" t="s">
        <v>80</v>
      </c>
      <c r="C115">
        <v>24.698041915893555</v>
      </c>
      <c r="D115">
        <v>24.75128173828125</v>
      </c>
      <c r="E115">
        <v>7.529112696647644E-2</v>
      </c>
      <c r="F115">
        <f t="shared" si="6"/>
        <v>6.7134899291534849</v>
      </c>
      <c r="G115">
        <f t="shared" si="7"/>
        <v>5169992.6914339187</v>
      </c>
      <c r="H115">
        <f t="shared" si="8"/>
        <v>1033998.5382867837</v>
      </c>
      <c r="I115" s="3">
        <f t="shared" si="9"/>
        <v>103399853.82867837</v>
      </c>
    </row>
    <row r="116" spans="1:9" x14ac:dyDescent="0.3">
      <c r="A116" t="s">
        <v>147</v>
      </c>
      <c r="B116" t="s">
        <v>144</v>
      </c>
      <c r="C116">
        <v>23.95306396484375</v>
      </c>
      <c r="D116">
        <v>23.85334587097168</v>
      </c>
      <c r="E116">
        <v>0.14102268218994141</v>
      </c>
      <c r="F116">
        <f t="shared" si="6"/>
        <v>6.9626881272800825</v>
      </c>
      <c r="G116">
        <f t="shared" si="7"/>
        <v>9176733.662001919</v>
      </c>
      <c r="H116">
        <f t="shared" si="8"/>
        <v>1835346.7324003838</v>
      </c>
      <c r="I116" s="3">
        <f t="shared" si="9"/>
        <v>183534673.24003839</v>
      </c>
    </row>
    <row r="117" spans="1:9" x14ac:dyDescent="0.3">
      <c r="A117" t="s">
        <v>148</v>
      </c>
      <c r="B117" t="s">
        <v>144</v>
      </c>
      <c r="C117">
        <v>23.753627777099609</v>
      </c>
      <c r="D117">
        <v>23.85334587097168</v>
      </c>
      <c r="E117">
        <v>0.14102268218994141</v>
      </c>
      <c r="F117">
        <f t="shared" si="6"/>
        <v>6.9626881272800825</v>
      </c>
      <c r="G117">
        <f t="shared" si="7"/>
        <v>9176733.662001919</v>
      </c>
      <c r="H117">
        <f t="shared" si="8"/>
        <v>1835346.7324003838</v>
      </c>
      <c r="I117" s="3">
        <f t="shared" si="9"/>
        <v>183534673.24003839</v>
      </c>
    </row>
    <row r="118" spans="1:9" x14ac:dyDescent="0.3">
      <c r="A118" t="s">
        <v>150</v>
      </c>
      <c r="B118" t="s">
        <v>145</v>
      </c>
      <c r="C118">
        <v>24.9854736328125</v>
      </c>
      <c r="D118">
        <v>25.004045486450195</v>
      </c>
      <c r="E118">
        <v>2.626456692814827E-2</v>
      </c>
      <c r="F118">
        <f t="shared" si="6"/>
        <v>6.6433420790802336</v>
      </c>
      <c r="G118">
        <f t="shared" si="7"/>
        <v>4398879.6389331967</v>
      </c>
      <c r="H118">
        <f t="shared" si="8"/>
        <v>879775.92778663931</v>
      </c>
      <c r="I118" s="3">
        <f t="shared" si="9"/>
        <v>87977592.778663933</v>
      </c>
    </row>
    <row r="119" spans="1:9" x14ac:dyDescent="0.3">
      <c r="A119" t="s">
        <v>151</v>
      </c>
      <c r="B119" t="s">
        <v>145</v>
      </c>
      <c r="C119">
        <v>25.022617340087891</v>
      </c>
      <c r="D119">
        <v>25.004045486450195</v>
      </c>
      <c r="E119">
        <v>2.626456692814827E-2</v>
      </c>
      <c r="F119">
        <f t="shared" si="6"/>
        <v>6.6433420790802336</v>
      </c>
      <c r="G119">
        <f t="shared" si="7"/>
        <v>4398879.6389331967</v>
      </c>
      <c r="H119">
        <f t="shared" si="8"/>
        <v>879775.92778663931</v>
      </c>
      <c r="I119" s="3">
        <f t="shared" si="9"/>
        <v>87977592.778663933</v>
      </c>
    </row>
    <row r="120" spans="1:9" x14ac:dyDescent="0.3">
      <c r="A120" t="s">
        <v>153</v>
      </c>
      <c r="B120" t="s">
        <v>150</v>
      </c>
      <c r="C120">
        <v>23.966907501220703</v>
      </c>
      <c r="D120">
        <v>24.005744934082031</v>
      </c>
      <c r="E120">
        <v>5.4925773292779922E-2</v>
      </c>
      <c r="F120">
        <f t="shared" si="6"/>
        <v>6.9203938239719065</v>
      </c>
      <c r="G120">
        <f t="shared" si="7"/>
        <v>8325183.675627009</v>
      </c>
      <c r="H120">
        <f t="shared" si="8"/>
        <v>1665036.7351254018</v>
      </c>
      <c r="I120" s="3">
        <f t="shared" si="9"/>
        <v>166503673.51254016</v>
      </c>
    </row>
    <row r="121" spans="1:9" x14ac:dyDescent="0.3">
      <c r="A121" t="s">
        <v>154</v>
      </c>
      <c r="B121" t="s">
        <v>150</v>
      </c>
      <c r="C121">
        <v>24.044584274291992</v>
      </c>
      <c r="D121">
        <v>24.005744934082031</v>
      </c>
      <c r="E121">
        <v>5.4925773292779922E-2</v>
      </c>
      <c r="F121">
        <f t="shared" si="6"/>
        <v>6.9203938239719065</v>
      </c>
      <c r="G121">
        <f t="shared" si="7"/>
        <v>8325183.675627009</v>
      </c>
      <c r="H121">
        <f t="shared" si="8"/>
        <v>1665036.7351254018</v>
      </c>
      <c r="I121" s="3">
        <f t="shared" si="9"/>
        <v>166503673.51254016</v>
      </c>
    </row>
    <row r="122" spans="1:9" x14ac:dyDescent="0.3">
      <c r="A122" t="s">
        <v>156</v>
      </c>
      <c r="B122" t="s">
        <v>151</v>
      </c>
      <c r="C122">
        <v>24.244287490844727</v>
      </c>
      <c r="D122">
        <v>24.268991470336914</v>
      </c>
      <c r="E122">
        <v>3.4936703741550446E-2</v>
      </c>
      <c r="F122">
        <f t="shared" si="6"/>
        <v>6.8473367551031243</v>
      </c>
      <c r="G122">
        <f t="shared" si="7"/>
        <v>7036176.9869737588</v>
      </c>
      <c r="H122">
        <f t="shared" si="8"/>
        <v>1407235.3973947517</v>
      </c>
      <c r="I122" s="3">
        <f t="shared" si="9"/>
        <v>140723539.73947516</v>
      </c>
    </row>
    <row r="123" spans="1:9" x14ac:dyDescent="0.3">
      <c r="A123" t="s">
        <v>157</v>
      </c>
      <c r="B123" t="s">
        <v>151</v>
      </c>
      <c r="C123">
        <v>24.293695449829102</v>
      </c>
      <c r="D123">
        <v>24.268991470336914</v>
      </c>
      <c r="E123">
        <v>3.4936703741550446E-2</v>
      </c>
      <c r="F123">
        <f t="shared" si="6"/>
        <v>6.8473367551031243</v>
      </c>
      <c r="G123">
        <f t="shared" si="7"/>
        <v>7036176.9869737588</v>
      </c>
      <c r="H123">
        <f t="shared" si="8"/>
        <v>1407235.3973947517</v>
      </c>
      <c r="I123" s="3">
        <f t="shared" si="9"/>
        <v>140723539.73947516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Key and summary</vt:lpstr>
      <vt:lpstr>Copy numbers 1-32</vt:lpstr>
      <vt:lpstr>Copy numbers 33-64</vt:lpstr>
      <vt:lpstr>Copy numbers 65-95</vt:lpstr>
      <vt:lpstr>Repeated qPCRs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Costa</dc:creator>
  <cp:lastModifiedBy>Rodrigo Costa</cp:lastModifiedBy>
  <dcterms:created xsi:type="dcterms:W3CDTF">2025-12-09T18:45:52Z</dcterms:created>
  <dcterms:modified xsi:type="dcterms:W3CDTF">2025-12-09T18:56:45Z</dcterms:modified>
</cp:coreProperties>
</file>